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drawings/drawing1.xml" ContentType="application/vnd.openxmlformats-officedocument.drawing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Records2.xml" ContentType="application/vnd.openxmlformats-officedocument.spreadsheetml.pivotCacheRecords+xml"/>
  <Override PartName="/xl/pivotCache/pivotCacheRecords3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sharedStrings.xml" ContentType="application/vnd.openxmlformats-officedocument.spreadsheetml.sharedStrings+xml"/>
  <Override PartName="/xl/slicerCaches/slicerCache1.xml" ContentType="application/vnd.ms-excel.slicerCache+xml"/>
  <Override PartName="/xl/slicers/slicer1.xml" ContentType="application/vnd.ms-excel.slicer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040" windowHeight="9000" activeTab="4"/>
  </bookViews>
  <sheets>
    <sheet name="avg_order_amt" sheetId="1" r:id="rId1"/>
    <sheet name="no_of_order" sheetId="2" r:id="rId2"/>
    <sheet name="deli_performance" sheetId="3" r:id="rId3"/>
    <sheet name="pivot_tables" sheetId="4" r:id="rId4"/>
    <sheet name="dashboard" sheetId="5" r:id="rId5"/>
  </sheets>
  <definedNames>
    <definedName name="_xlnm._FilterDatabase" localSheetId="0" hidden="1">avg_order_amt!$A$1:$C$6</definedName>
    <definedName name="_xlnm._FilterDatabase" localSheetId="1" hidden="1">no_of_order!$A$1:$C$6</definedName>
    <definedName name="_xlnm._FilterDatabase" localSheetId="2" hidden="1">deli_performance!$A$1:$C$11</definedName>
    <definedName name="Slicer_performance">#N/A</definedName>
  </definedNames>
  <calcPr calcId="191029"/>
  <pivotCaches>
    <pivotCache cacheId="0" r:id="rId6"/>
    <pivotCache cacheId="1" r:id="rId7"/>
    <pivotCache cacheId="2" r:id="rId8"/>
  </pivotCaches>
  <extLst>
    <ext xmlns:x14="http://schemas.microsoft.com/office/spreadsheetml/2009/9/main" uri="{BBE1A952-AA13-448e-AADC-164F8A28A991}">
      <x14:slicerCaches>
        <x14:slicerCache r:id="rId9"/>
      </x14:slicerCaches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<sst xmlns="http://schemas.openxmlformats.org/spreadsheetml/2006/main" count="80" uniqueCount="30">
  <si>
    <t>area</t>
  </si>
  <si>
    <t>no_of_order</t>
  </si>
  <si>
    <t>avg_order_amt</t>
  </si>
  <si>
    <t>Suryapet</t>
  </si>
  <si>
    <t>Phusro</t>
  </si>
  <si>
    <t>Kulti</t>
  </si>
  <si>
    <t>Nadiad</t>
  </si>
  <si>
    <t>Siwan</t>
  </si>
  <si>
    <t>Deoghar</t>
  </si>
  <si>
    <t>Orai</t>
  </si>
  <si>
    <t>Jalna</t>
  </si>
  <si>
    <t>Bathinda</t>
  </si>
  <si>
    <t>Machilipatnam</t>
  </si>
  <si>
    <t>avg_delivery_mins</t>
  </si>
  <si>
    <t>performance</t>
  </si>
  <si>
    <t>Good</t>
  </si>
  <si>
    <t>Decent</t>
  </si>
  <si>
    <t>Bad</t>
  </si>
  <si>
    <t>(ALL)</t>
  </si>
  <si>
    <t>Average Order Amount</t>
  </si>
  <si>
    <t>Percentage Distribution</t>
  </si>
  <si>
    <t>Average Delivery Mins</t>
  </si>
  <si>
    <t>Grand Total</t>
  </si>
  <si>
    <t>No.of Orders</t>
  </si>
  <si>
    <t>Top 5 Areas with Highest Average Order Amount &amp; Highest No.of Orders, and Delivery Performance in Those Areas</t>
  </si>
  <si>
    <t>AREA</t>
  </si>
  <si>
    <t>DELAY (MINUTES)</t>
  </si>
  <si>
    <t>PERFORMANCE</t>
  </si>
  <si>
    <t>No.ORDER</t>
  </si>
  <si>
    <t>AVG AMOUNT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</si>
</sst>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(* #,##0.00_);_(* \(#,##0.00\);_(* &quot;-&quot;??_);_(@_)"/>
    <numFmt numFmtId="177" formatCode="_-&quot;RM&quot;* #,##0.00_-;\-&quot;RM&quot;* #,##0.00_-;_-&quot;RM&quot;* &quot;-&quot;??_-;_-@_-"/>
    <numFmt numFmtId="178" formatCode="_(* #,##0_);_(* \(#,##0\);_(* &quot;-&quot;_);_(@_)"/>
    <numFmt numFmtId="179" formatCode="_-&quot;RM&quot;* #,##0_-;\-&quot;RM&quot;* #,##0_-;_-&quot;RM&quot;* &quot;-&quot;??_-;_-@_-"/>
    <numFmt numFmtId="180" formatCode="0.00_);[Red]\(0.00\)"/>
  </numFmts>
  <fonts count="25">
    <font>
      <sz val="11"/>
      <color theme="1"/>
      <name val="Calibri"/>
      <charset val="134"/>
      <scheme val="minor"/>
    </font>
    <font>
      <sz val="24"/>
      <color theme="0"/>
      <name val="Bahnschrift Condensed"/>
      <charset val="134"/>
    </font>
    <font>
      <b/>
      <sz val="11"/>
      <color theme="1"/>
      <name val="Calibri"/>
      <charset val="134"/>
      <scheme val="minor"/>
    </font>
    <font>
      <b/>
      <sz val="12"/>
      <color theme="1"/>
      <name val="Arial Black"/>
      <charset val="134"/>
    </font>
    <font>
      <b/>
      <sz val="11"/>
      <color theme="1"/>
      <name val="DengXian"/>
      <charset val="134"/>
    </font>
    <font>
      <b/>
      <sz val="11"/>
      <color theme="1"/>
      <name val="Arial Black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4" borderId="7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8" applyNumberFormat="0" applyFill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13" fillId="0" borderId="9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5" borderId="10" applyNumberFormat="0" applyAlignment="0" applyProtection="0">
      <alignment vertical="center"/>
    </xf>
    <xf numFmtId="0" fontId="15" fillId="6" borderId="11" applyNumberFormat="0" applyAlignment="0" applyProtection="0">
      <alignment vertical="center"/>
    </xf>
    <xf numFmtId="0" fontId="16" fillId="6" borderId="10" applyNumberFormat="0" applyAlignment="0" applyProtection="0">
      <alignment vertical="center"/>
    </xf>
    <xf numFmtId="0" fontId="17" fillId="7" borderId="12" applyNumberFormat="0" applyAlignment="0" applyProtection="0">
      <alignment vertical="center"/>
    </xf>
    <xf numFmtId="0" fontId="18" fillId="0" borderId="13" applyNumberFormat="0" applyFill="0" applyAlignment="0" applyProtection="0">
      <alignment vertical="center"/>
    </xf>
    <xf numFmtId="0" fontId="19" fillId="0" borderId="14" applyNumberFormat="0" applyFill="0" applyAlignment="0" applyProtection="0">
      <alignment vertical="center"/>
    </xf>
    <xf numFmtId="0" fontId="20" fillId="8" borderId="0" applyNumberFormat="0" applyBorder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2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0" fillId="0" borderId="0" xfId="0" applyFill="1">
      <alignment vertical="center"/>
    </xf>
    <xf numFmtId="0" fontId="1" fillId="2" borderId="0" xfId="0" applyFont="1" applyFill="1" applyAlignment="1">
      <alignment horizontal="center" vertical="center"/>
    </xf>
    <xf numFmtId="0" fontId="0" fillId="3" borderId="0" xfId="0" applyFill="1">
      <alignment vertical="center"/>
    </xf>
    <xf numFmtId="0" fontId="2" fillId="3" borderId="0" xfId="0" applyFont="1" applyFill="1">
      <alignment vertical="center"/>
    </xf>
    <xf numFmtId="0" fontId="3" fillId="3" borderId="0" xfId="0" applyFont="1" applyFill="1" applyAlignment="1">
      <alignment horizontal="left" vertical="center"/>
    </xf>
    <xf numFmtId="0" fontId="3" fillId="3" borderId="0" xfId="0" applyFont="1" applyFill="1" applyAlignment="1">
      <alignment horizontal="center" vertical="center"/>
    </xf>
    <xf numFmtId="0" fontId="3" fillId="3" borderId="0" xfId="0" applyFont="1" applyFill="1">
      <alignment vertical="center"/>
    </xf>
    <xf numFmtId="0" fontId="4" fillId="3" borderId="0" xfId="0" applyFont="1" applyFill="1">
      <alignment vertical="center"/>
    </xf>
    <xf numFmtId="0" fontId="3" fillId="0" borderId="0" xfId="0" applyFont="1" applyFill="1" applyAlignment="1">
      <alignment horizontal="left" vertical="center"/>
    </xf>
    <xf numFmtId="0" fontId="3" fillId="0" borderId="0" xfId="0" applyFont="1" applyFill="1" applyAlignment="1">
      <alignment horizontal="center" vertical="center"/>
    </xf>
    <xf numFmtId="0" fontId="3" fillId="0" borderId="0" xfId="0" applyFont="1" applyFill="1">
      <alignment vertical="center"/>
    </xf>
    <xf numFmtId="0" fontId="4" fillId="0" borderId="0" xfId="0" applyFont="1" applyFill="1">
      <alignment vertical="center"/>
    </xf>
    <xf numFmtId="0" fontId="5" fillId="3" borderId="0" xfId="0" applyFont="1" applyFill="1">
      <alignment vertical="center"/>
    </xf>
    <xf numFmtId="0" fontId="5" fillId="3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left" vertical="center"/>
    </xf>
    <xf numFmtId="0" fontId="4" fillId="3" borderId="0" xfId="0" applyFont="1" applyFill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3" borderId="1" xfId="0" applyFont="1" applyFill="1" applyBorder="1" applyAlignment="1">
      <alignment horizontal="center" vertical="center"/>
    </xf>
    <xf numFmtId="0" fontId="4" fillId="3" borderId="2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left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4" xfId="0" applyFont="1" applyFill="1" applyBorder="1" applyAlignment="1">
      <alignment horizontal="center" vertical="center"/>
    </xf>
    <xf numFmtId="0" fontId="4" fillId="3" borderId="5" xfId="0" applyFont="1" applyFill="1" applyBorder="1" applyAlignment="1">
      <alignment horizontal="left" vertical="center"/>
    </xf>
    <xf numFmtId="0" fontId="4" fillId="3" borderId="5" xfId="0" applyFont="1" applyFill="1" applyBorder="1" applyAlignment="1">
      <alignment horizontal="center" vertical="center"/>
    </xf>
    <xf numFmtId="0" fontId="4" fillId="3" borderId="6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right" vertical="center"/>
    </xf>
    <xf numFmtId="180" fontId="4" fillId="3" borderId="0" xfId="0" applyNumberFormat="1" applyFont="1" applyFill="1">
      <alignment vertical="center"/>
    </xf>
    <xf numFmtId="0" fontId="5" fillId="0" borderId="0" xfId="0" applyFont="1" applyFill="1">
      <alignment vertical="center"/>
    </xf>
    <xf numFmtId="0" fontId="5" fillId="0" borderId="0" xfId="0" applyFont="1" applyFill="1" applyAlignment="1">
      <alignment horizontal="center" vertical="center"/>
    </xf>
    <xf numFmtId="0" fontId="4" fillId="0" borderId="0" xfId="0" applyFont="1" applyFill="1" applyAlignment="1">
      <alignment horizontal="left" vertical="center"/>
    </xf>
    <xf numFmtId="0" fontId="4" fillId="0" borderId="0" xfId="0" applyFont="1" applyFill="1" applyAlignment="1">
      <alignment horizontal="center" vertical="center"/>
    </xf>
    <xf numFmtId="10" fontId="0" fillId="0" borderId="0" xfId="0" applyNumberFormat="1">
      <alignment vertical="center"/>
    </xf>
    <xf numFmtId="0" fontId="2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9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ont>
        <name val="Bahnschrift"/>
        <scheme val="none"/>
        <b val="1"/>
        <i val="0"/>
        <u val="none"/>
        <sz val="12"/>
        <color theme="0"/>
      </font>
      <fill>
        <patternFill patternType="solid">
          <bgColor theme="9"/>
        </patternFill>
      </fill>
    </dxf>
    <dxf>
      <font>
        <name val="Bahnschrift"/>
        <scheme val="none"/>
        <b val="1"/>
        <i val="0"/>
        <u val="none"/>
        <sz val="10"/>
        <color theme="0"/>
      </font>
      <fill>
        <patternFill patternType="solid">
          <bgColor theme="9" tint="0.8"/>
        </patternFill>
      </fill>
      <border>
        <left style="thick">
          <color theme="9"/>
        </left>
        <right style="thick">
          <color theme="9"/>
        </right>
        <top style="thick">
          <color theme="9"/>
        </top>
        <bottom style="thick">
          <color theme="9"/>
        </bottom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3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Slicer Style 1" pivot="0" table="0" count="10" xr9:uid="{B03C3F46-10FA-4018-975B-5BF40EB0384A}">
      <tableStyleElement type="wholeTable" dxfId="8"/>
      <tableStyleElement type="headerRow" dxfId="7"/>
    </tableStyle>
    <tableStyle name="PivotStylePreset2_Accent1" table="0" count="10" xr9:uid="{267968C8-6FFD-4C36-ACC1-9EA1FD1885CA}">
      <tableStyleElement type="headerRow" dxfId="18"/>
      <tableStyleElement type="totalRow" dxfId="17"/>
      <tableStyleElement type="firstRowStripe" dxfId="16"/>
      <tableStyleElement type="firstColumnStripe" dxfId="15"/>
      <tableStyleElement type="firstSubtotalRow" dxfId="14"/>
      <tableStyleElement type="secondSubtotalRow" dxfId="13"/>
      <tableStyleElement type="firstRowSubheading" dxfId="12"/>
      <tableStyleElement type="secondRowSubheading" dxfId="11"/>
      <tableStyleElement type="pageFieldLabels" dxfId="10"/>
      <tableStyleElement type="pageFieldValues" dxfId="9"/>
    </tableStyle>
  </tableStyles>
  <colors>
    <mruColors>
      <color rgb="00E6D300"/>
      <color rgb="00F2D900"/>
      <color rgb="00E6AD00"/>
      <color rgb="00EEB300"/>
      <color rgb="00EAAB00"/>
      <color rgb="0086BB5F"/>
    </mruColors>
  </colors>
  <extLst>
    <ext xmlns:x14="http://schemas.microsoft.com/office/spreadsheetml/2009/9/main" uri="{46F421CA-312F-682f-3DD2-61675219B42D}">
      <x14:dxfs count="8"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theme="9" tint="0.4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rgb="FF86BB5F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rgb="FF86BB5F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rgb="FF86BB5F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theme="9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theme="0"/>
          </font>
          <fill>
            <patternFill patternType="solid">
              <bgColor theme="9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theme="9" tint="0.4"/>
            </patternFill>
          </fill>
        </dxf>
        <dxf>
          <font>
            <name val="Bahnschrift"/>
            <scheme val="none"/>
            <b val="1"/>
            <i val="0"/>
            <u val="none"/>
            <sz val="10"/>
            <color auto="1"/>
          </font>
          <fill>
            <patternFill patternType="solid">
              <bgColor theme="9" tint="0.4"/>
            </patternFill>
          </fill>
        </dxf>
      </x14:dxfs>
    </ext>
    <ext xmlns:x14="http://schemas.microsoft.com/office/spreadsheetml/2009/9/main" uri="{EB79DEF2-80B8-43e5-95BD-54CBDDF9020C}">
      <x14:slicerStyles defaultSlicerStyle="SlicerStyleLight1">
        <x14:slicerStyle name="Slicer Style 1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</extLst>
</styleSheet>
</file>

<file path=xl/_rels/workbook.xml.rels><?xml version="1.0" encoding="UTF-8" standalone="yes"?>
<Relationships xmlns="http://schemas.openxmlformats.org/package/2006/relationships"><Relationship Id="rId9" Type="http://schemas.microsoft.com/office/2007/relationships/slicerCache" Target="slicerCaches/slicerCache1.xml"/><Relationship Id="rId8" Type="http://schemas.openxmlformats.org/officeDocument/2006/relationships/pivotCacheDefinition" Target="pivotCache/pivotCacheDefinition3.xml"/><Relationship Id="rId7" Type="http://schemas.openxmlformats.org/officeDocument/2006/relationships/pivotCacheDefinition" Target="pivotCache/pivotCacheDefinition2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[Case3.xlsx]pivot_tables!PivotTable1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Average Order Amount Distribution </a:t>
            </a:r>
            <a:endParaRPr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pivot_tables!$B$2</c:f>
              <c:strCache>
                <c:ptCount val="1"/>
                <c:pt idx="0">
                  <c:v>Average Order Amount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AAB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564986439633005"/>
                  <c:y val="0.202092275403362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18364795689476"/>
                  <c:y val="-0.0770955294154954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-0.00493548268952331"/>
                  <c:y val="-0.11652374370367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08414062274585"/>
                  <c:y val="-0.095262848352310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735320720601877"/>
                  <c:y val="0.208021015015389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Kulti</c:v>
                </c:pt>
                <c:pt idx="1">
                  <c:v>Nadiad</c:v>
                </c:pt>
                <c:pt idx="2">
                  <c:v>Phusro</c:v>
                </c:pt>
                <c:pt idx="3">
                  <c:v>Siwan</c:v>
                </c:pt>
                <c:pt idx="4">
                  <c:v>Suryapet</c:v>
                </c:pt>
              </c:strCache>
            </c:strRef>
          </c:cat>
          <c:val>
            <c:numRef>
              <c:f>pivot_tables!$B$3:$B$8</c:f>
              <c:numCache>
                <c:formatCode>General</c:formatCode>
                <c:ptCount val="5"/>
                <c:pt idx="0">
                  <c:v>1563.56</c:v>
                </c:pt>
                <c:pt idx="1">
                  <c:v>1551.5</c:v>
                </c:pt>
                <c:pt idx="2">
                  <c:v>1693.85</c:v>
                </c:pt>
                <c:pt idx="3">
                  <c:v>1489.34</c:v>
                </c:pt>
                <c:pt idx="4">
                  <c:v>1697</c:v>
                </c:pt>
              </c:numCache>
            </c:numRef>
          </c:val>
        </c:ser>
        <c:ser>
          <c:idx val="1"/>
          <c:order val="1"/>
          <c:tx>
            <c:strRef>
              <c:f>pivot_tables!$C$2</c:f>
              <c:strCache>
                <c:ptCount val="1"/>
                <c:pt idx="0">
                  <c:v>Percentage Distribution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1"/>
            <c:showCatName val="1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pivot_tables!$A$3:$A$8</c:f>
              <c:strCache>
                <c:ptCount val="5"/>
                <c:pt idx="0">
                  <c:v>Kulti</c:v>
                </c:pt>
                <c:pt idx="1">
                  <c:v>Nadiad</c:v>
                </c:pt>
                <c:pt idx="2">
                  <c:v>Phusro</c:v>
                </c:pt>
                <c:pt idx="3">
                  <c:v>Siwan</c:v>
                </c:pt>
                <c:pt idx="4">
                  <c:v>Suryapet</c:v>
                </c:pt>
              </c:strCache>
            </c:strRef>
          </c:cat>
          <c:val>
            <c:numRef>
              <c:f>pivot_tables!$C$3:$C$8</c:f>
              <c:numCache>
                <c:formatCode>0.00%</c:formatCode>
                <c:ptCount val="5"/>
                <c:pt idx="0">
                  <c:v>0.195561114411682</c:v>
                </c:pt>
                <c:pt idx="1">
                  <c:v>0.194052718801789</c:v>
                </c:pt>
                <c:pt idx="2">
                  <c:v>0.21185704011757</c:v>
                </c:pt>
                <c:pt idx="3">
                  <c:v>0.186278102623433</c:v>
                </c:pt>
                <c:pt idx="4">
                  <c:v>0.212251024045527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affc3a2b-78e7-467f-a789-0a83c6b87d4b}"/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[Case3.xlsx]pivot_tables!PivotTable2</c:name>
    <c:fmtId val="2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>
                <a:solidFill>
                  <a:schemeClr val="tx1"/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No.of Order Distribution</a:t>
            </a:r>
            <a:endParaRPr>
              <a:solidFill>
                <a:schemeClr val="tx1"/>
              </a:solidFill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/>
      <c:overlay val="0"/>
      <c:spPr>
        <a:noFill/>
        <a:ln>
          <a:noFill/>
        </a:ln>
        <a:effectLst/>
      </c:spPr>
    </c:title>
    <c:autoTitleDeleted val="0"/>
    <c:plotArea>
      <c:layout/>
      <c:pieChart>
        <c:varyColors val="1"/>
        <c:ser>
          <c:idx val="0"/>
          <c:order val="0"/>
          <c:tx>
            <c:strRef>
              <c:f>pivot_tables!$B$11</c:f>
              <c:strCache>
                <c:ptCount val="1"/>
                <c:pt idx="0">
                  <c:v>No.of Orders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rgbClr val="E6AD00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dLbl>
              <c:idx val="0"/>
              <c:layout>
                <c:manualLayout>
                  <c:x val="-0.0854054798508212"/>
                  <c:y val="0.228547568183541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1"/>
              <c:layout>
                <c:manualLayout>
                  <c:x val="-0.168810765725449"/>
                  <c:y val="-0.0826327009050996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2"/>
              <c:layout>
                <c:manualLayout>
                  <c:x val="0.00414622077397192"/>
                  <c:y val="-0.1287548055561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3"/>
              <c:layout>
                <c:manualLayout>
                  <c:x val="0.193892659246236"/>
                  <c:y val="-0.0798367015278076"/>
                </c:manualLayout>
              </c:layout>
              <c:numFmt formatCode="General" sourceLinked="1"/>
              <c:spPr>
                <a:noFill/>
                <a:ln>
                  <a:noFill/>
                </a:ln>
                <a:effectLst/>
              </c:spPr>
              <c:txPr>
                <a:bodyPr rot="0" spcFirstLastPara="0" vertOverflow="ellipsis" vert="horz" wrap="square" lIns="38100" tIns="19050" rIns="38100" bIns="19050" anchor="ctr" anchorCtr="1"/>
                <a:lstStyle/>
                <a:p>
                  <a:pPr>
                    <a:defRPr lang="en-US" sz="1100" b="1" i="0" u="none" strike="noStrike" kern="1200" baseline="0">
                      <a:solidFill>
                        <a:schemeClr val="bg1"/>
                      </a:solidFill>
                      <a:latin typeface="Bahnschrift" panose="020B0502040204020203" charset="0"/>
                      <a:ea typeface="Bahnschrift" panose="020B0502040204020203" charset="0"/>
                      <a:cs typeface="Bahnschrift" panose="020B0502040204020203" charset="0"/>
                      <a:sym typeface="Bahnschrift" panose="020B0502040204020203" charset="0"/>
                    </a:defRPr>
                  </a:pPr>
                </a:p>
              </c:txPr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dLbl>
              <c:idx val="4"/>
              <c:layout>
                <c:manualLayout>
                  <c:x val="0.0850090412678306"/>
                  <c:y val="0.20212155150893"/>
                </c:manualLayout>
              </c:layout>
              <c:dLblPos val="bestFit"/>
              <c:showLegendKey val="0"/>
              <c:showVal val="0"/>
              <c:showCatName val="1"/>
              <c:showSerName val="0"/>
              <c:showPercent val="1"/>
              <c:showBubbleSize val="0"/>
              <c:separator>
</c:separator>
              <c:extLst>
                <c:ext xmlns:c15="http://schemas.microsoft.com/office/drawing/2012/chart" uri="{CE6537A1-D6FC-4f65-9D91-7224C49458BB}">
                  <c15:layout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400" b="1" i="0" u="none" strike="noStrike" kern="1200" baseline="0">
                    <a:solidFill>
                      <a:schemeClr val="bg1"/>
                    </a:solidFill>
                    <a:latin typeface="Bahnschrift" panose="020B0502040204020203" charset="0"/>
                    <a:ea typeface="Bahnschrift" panose="020B0502040204020203" charset="0"/>
                    <a:cs typeface="Bahnschrift" panose="020B0502040204020203" charset="0"/>
                    <a:sym typeface="Bahnschrift" panose="020B0502040204020203" charset="0"/>
                  </a:defRPr>
                </a:pPr>
              </a:p>
            </c:txPr>
            <c:dLblPos val="ctr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pivot_tables!$A$12:$A$17</c:f>
              <c:strCache>
                <c:ptCount val="5"/>
                <c:pt idx="0">
                  <c:v>Bathinda</c:v>
                </c:pt>
                <c:pt idx="1">
                  <c:v>Deoghar</c:v>
                </c:pt>
                <c:pt idx="2">
                  <c:v>Jalna</c:v>
                </c:pt>
                <c:pt idx="3">
                  <c:v>Machilipatnam</c:v>
                </c:pt>
                <c:pt idx="4">
                  <c:v>Orai</c:v>
                </c:pt>
              </c:strCache>
            </c:strRef>
          </c:cat>
          <c:val>
            <c:numRef>
              <c:f>pivot_tables!$B$12:$B$17</c:f>
              <c:numCache>
                <c:formatCode>General</c:formatCode>
                <c:ptCount val="5"/>
                <c:pt idx="0">
                  <c:v>168</c:v>
                </c:pt>
                <c:pt idx="1">
                  <c:v>200</c:v>
                </c:pt>
                <c:pt idx="2">
                  <c:v>175</c:v>
                </c:pt>
                <c:pt idx="3">
                  <c:v>164</c:v>
                </c:pt>
                <c:pt idx="4">
                  <c:v>190</c:v>
                </c:pt>
              </c:numCache>
            </c:numRef>
          </c:val>
        </c:ser>
        <c:ser>
          <c:idx val="1"/>
          <c:order val="1"/>
          <c:tx>
            <c:strRef>
              <c:f>pivot_tables!$C$11</c:f>
              <c:strCache>
                <c:ptCount val="1"/>
                <c:pt idx="0">
                  <c:v>Percentage Distribution</c:v>
                </c:pt>
              </c:strCache>
            </c:strRef>
          </c:tx>
          <c:spPr/>
          <c:explosion val="0"/>
          <c:dPt>
            <c:idx val="0"/>
            <c:bubble3D val="0"/>
            <c:spPr>
              <a:solidFill>
                <a:schemeClr val="accent2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4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6"/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3"/>
            <c:bubble3D val="0"/>
            <c:spPr>
              <a:solidFill>
                <a:schemeClr val="accent2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accent4">
                  <a:lumMod val="60000"/>
                </a:schemeClr>
              </a:solidFill>
              <a:ln>
                <a:solidFill>
                  <a:schemeClr val="bg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en-US" sz="1000" b="0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</a:p>
            </c:txPr>
            <c:dLblPos val="inEnd"/>
            <c:showLegendKey val="0"/>
            <c:showVal val="0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layout/>
                <c15:showLeaderLines val="0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pivot_tables!$A$12:$A$17</c:f>
              <c:strCache>
                <c:ptCount val="5"/>
                <c:pt idx="0">
                  <c:v>Bathinda</c:v>
                </c:pt>
                <c:pt idx="1">
                  <c:v>Deoghar</c:v>
                </c:pt>
                <c:pt idx="2">
                  <c:v>Jalna</c:v>
                </c:pt>
                <c:pt idx="3">
                  <c:v>Machilipatnam</c:v>
                </c:pt>
                <c:pt idx="4">
                  <c:v>Orai</c:v>
                </c:pt>
              </c:strCache>
            </c:strRef>
          </c:cat>
          <c:val>
            <c:numRef>
              <c:f>pivot_tables!$C$12:$C$17</c:f>
              <c:numCache>
                <c:formatCode>0.00%</c:formatCode>
                <c:ptCount val="5"/>
                <c:pt idx="0">
                  <c:v>0.187290969899666</c:v>
                </c:pt>
                <c:pt idx="1">
                  <c:v>0.222965440356745</c:v>
                </c:pt>
                <c:pt idx="2">
                  <c:v>0.195094760312152</c:v>
                </c:pt>
                <c:pt idx="3">
                  <c:v>0.182831661092531</c:v>
                </c:pt>
                <c:pt idx="4">
                  <c:v>0.211817168338907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141d6bf4-3135-45d7-ab0b-16a3e65e025b}"/>
      </c:ext>
    </c:extLst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>
          <a:solidFill>
            <a:schemeClr val="tx1"/>
          </a:solidFill>
        </a:defRPr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[Case3.xlsx]pivot_tables!PivotTable3</c:name>
    <c:fmtId val="6"/>
  </c:pivotSource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en-US" sz="1400" b="1" i="0" u="none" strike="noStrike" kern="1200" baseline="0">
                <a:solidFill>
                  <a:schemeClr val="tx1">
                    <a:lumMod val="75000"/>
                    <a:lumOff val="25000"/>
                  </a:schemeClr>
                </a:solidFill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defRPr>
            </a:pPr>
            <a:r>
              <a:rPr>
                <a:latin typeface="Bahnschrift" panose="020B0502040204020203" charset="0"/>
                <a:ea typeface="Bahnschrift" panose="020B0502040204020203" charset="0"/>
                <a:cs typeface="Bahnschrift" panose="020B0502040204020203" charset="0"/>
                <a:sym typeface="Bahnschrift" panose="020B0502040204020203" charset="0"/>
              </a:rPr>
              <a:t>Average Delivery Minutes / Delay Duration</a:t>
            </a:r>
            <a:endParaRPr>
              <a:latin typeface="Bahnschrift" panose="020B0502040204020203" charset="0"/>
              <a:ea typeface="Bahnschrift" panose="020B0502040204020203" charset="0"/>
              <a:cs typeface="Bahnschrift" panose="020B0502040204020203" charset="0"/>
              <a:sym typeface="Bahnschrift" panose="020B0502040204020203" charset="0"/>
            </a:endParaRPr>
          </a:p>
        </c:rich>
      </c:tx>
      <c:layout>
        <c:manualLayout>
          <c:xMode val="edge"/>
          <c:yMode val="edge"/>
          <c:x val="0.377714101218823"/>
          <c:y val="0.0254777070063694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0.442612992850194"/>
          <c:y val="0.214791224345365"/>
          <c:w val="0.286625232060699"/>
          <c:h val="0.628273177636235"/>
        </c:manualLayout>
      </c:layout>
      <c:radarChart>
        <c:radarStyle val="marker"/>
        <c:varyColors val="0"/>
        <c:ser>
          <c:idx val="0"/>
          <c:order val="0"/>
          <c:tx>
            <c:strRef>
              <c:f>pivot_tables!$F$3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>
                  <a:lumMod val="75000"/>
                  <a:alpha val="96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75000"/>
                </a:schemeClr>
              </a:solidFill>
              <a:ln w="9525">
                <a:solidFill>
                  <a:schemeClr val="accent6">
                    <a:lumMod val="50000"/>
                  </a:schemeClr>
                </a:solidFill>
              </a:ln>
              <a:effectLst/>
            </c:spPr>
          </c:marker>
          <c:dLbls>
            <c:delete val="1"/>
          </c:dLbls>
          <c:cat>
            <c:strRef>
              <c:f>pivot_tables!$E$4:$E$14</c:f>
              <c:strCache>
                <c:ptCount val="10"/>
                <c:pt idx="0">
                  <c:v>Bathinda</c:v>
                </c:pt>
                <c:pt idx="1">
                  <c:v>Deoghar</c:v>
                </c:pt>
                <c:pt idx="2">
                  <c:v>Jalna</c:v>
                </c:pt>
                <c:pt idx="3">
                  <c:v>Kulti</c:v>
                </c:pt>
                <c:pt idx="4">
                  <c:v>Machilipatnam</c:v>
                </c:pt>
                <c:pt idx="5">
                  <c:v>Nadiad</c:v>
                </c:pt>
                <c:pt idx="6">
                  <c:v>Orai</c:v>
                </c:pt>
                <c:pt idx="7">
                  <c:v>Phusro</c:v>
                </c:pt>
                <c:pt idx="8">
                  <c:v>Siwan</c:v>
                </c:pt>
                <c:pt idx="9">
                  <c:v>Suryapet</c:v>
                </c:pt>
              </c:strCache>
            </c:strRef>
          </c:cat>
          <c:val>
            <c:numRef>
              <c:f>pivot_tables!$F$4:$F$14</c:f>
              <c:numCache>
                <c:formatCode>General</c:formatCode>
                <c:ptCount val="10"/>
                <c:pt idx="0">
                  <c:v>4.74</c:v>
                </c:pt>
                <c:pt idx="1">
                  <c:v>3.73</c:v>
                </c:pt>
                <c:pt idx="2">
                  <c:v>2.43</c:v>
                </c:pt>
                <c:pt idx="3">
                  <c:v>3.7</c:v>
                </c:pt>
                <c:pt idx="4">
                  <c:v>4.78</c:v>
                </c:pt>
                <c:pt idx="5">
                  <c:v>10.43</c:v>
                </c:pt>
                <c:pt idx="6">
                  <c:v>5.98</c:v>
                </c:pt>
                <c:pt idx="7">
                  <c:v>12.75</c:v>
                </c:pt>
                <c:pt idx="8">
                  <c:v>9.25</c:v>
                </c:pt>
                <c:pt idx="9">
                  <c:v>5.71</c:v>
                </c:pt>
              </c:numCache>
            </c:numRef>
          </c:val>
        </c:ser>
        <c:dLbls>
          <c:showLegendKey val="0"/>
          <c:showVal val="1"/>
          <c:showCatName val="0"/>
          <c:showSerName val="0"/>
          <c:showPercent val="0"/>
          <c:showBubbleSize val="0"/>
        </c:dLbls>
        <c:axId val="707790578"/>
        <c:axId val="636275586"/>
      </c:radarChart>
      <c:catAx>
        <c:axId val="707790578"/>
        <c:scaling>
          <c:orientation val="minMax"/>
        </c:scaling>
        <c:delete val="0"/>
        <c:axPos val="b"/>
        <c:majorGridlines>
          <c:spPr>
            <a:ln w="28575" cap="flat" cmpd="dbl" algn="ctr">
              <a:noFill/>
              <a:prstDash val="lgDash"/>
              <a:round/>
            </a:ln>
            <a:effectLst/>
          </c:spPr>
        </c:majorGridlines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1000" b="1" i="0" u="none" strike="noStrike" kern="1200" baseline="0">
                <a:solidFill>
                  <a:schemeClr val="tx1"/>
                </a:solidFill>
                <a:latin typeface="DengXian" panose="02010600030101010101" charset="-122"/>
                <a:ea typeface="DengXian" panose="02010600030101010101" charset="-122"/>
                <a:cs typeface="DengXian" panose="02010600030101010101" charset="-122"/>
                <a:sym typeface="DengXian" panose="02010600030101010101" charset="-122"/>
              </a:defRPr>
            </a:pPr>
          </a:p>
        </c:txPr>
        <c:crossAx val="636275586"/>
        <c:crosses val="autoZero"/>
        <c:auto val="1"/>
        <c:lblAlgn val="ctr"/>
        <c:lblOffset val="100"/>
        <c:noMultiLvlLbl val="0"/>
      </c:catAx>
      <c:valAx>
        <c:axId val="636275586"/>
        <c:scaling>
          <c:orientation val="minMax"/>
        </c:scaling>
        <c:delete val="1"/>
        <c:axPos val="l"/>
        <c:majorGridlines>
          <c:spPr>
            <a:ln w="12700" cap="flat" cmpd="sng" algn="ctr">
              <a:solidFill>
                <a:schemeClr val="accent6">
                  <a:lumMod val="50000"/>
                </a:schemeClr>
              </a:solidFill>
              <a:prstDash val="sysDot"/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70779057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uri="{0b15fc19-7d7d-44ad-8c2d-2c3a37ce22c3}">
        <chartProps xmlns="https://web.wps.cn/et/2018/main" chartId="{8a5465bc-9a42-45a7-bd82-7e55e72fb3fa}"/>
      </c:ext>
    </c:extLst>
  </c:chart>
  <c:spPr>
    <a:solidFill>
      <a:schemeClr val="accent6">
        <a:lumMod val="20000"/>
        <a:lumOff val="80000"/>
      </a:schemeClr>
    </a:solidFill>
    <a:ln w="9525" cap="flat" cmpd="sng" algn="ctr">
      <a:noFill/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1008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1">
      <cs:styleClr val="auto"/>
    </cs:fillRef>
    <cs:effectRef idx="0"/>
    <cs:fontRef idx="minor">
      <a:schemeClr val="dk1"/>
    </cs:fontRef>
    <cs:spPr>
      <a:ln>
        <a:solidFill>
          <a:schemeClr val="bg1"/>
        </a:solidFill>
      </a:ln>
      <a:effectLst/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1028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10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10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0">
      <cs:styleClr val="auto"/>
    </cs:fillRef>
    <cs:effectRef idx="0"/>
    <cs:fontRef idx="minor">
      <a:schemeClr val="dk1"/>
    </cs:fontRef>
    <cs:spPr>
      <a:ln w="28575" cap="rnd">
        <a:solidFill>
          <a:schemeClr val="phClr"/>
        </a:solidFill>
        <a:round/>
      </a:ln>
      <a:effectLst/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dk1"/>
    </cs:fontRef>
    <cs:spPr>
      <a:ln w="9525">
        <a:solidFill>
          <a:schemeClr val="phClr"/>
        </a:solidFill>
      </a:ln>
      <a:effectLst/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02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75000"/>
        <a:lumOff val="25000"/>
      </a:schemeClr>
    </cs:fontRef>
    <cs:defRPr sz="1400" b="1" kern="120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9</xdr:col>
      <xdr:colOff>212090</xdr:colOff>
      <xdr:row>25</xdr:row>
      <xdr:rowOff>157480</xdr:rowOff>
    </xdr:from>
    <xdr:to>
      <xdr:col>16</xdr:col>
      <xdr:colOff>603885</xdr:colOff>
      <xdr:row>42</xdr:row>
      <xdr:rowOff>24765</xdr:rowOff>
    </xdr:to>
    <xdr:graphicFrame>
      <xdr:nvGraphicFramePr>
        <xdr:cNvPr id="3" name="Chart 2"/>
        <xdr:cNvGraphicFramePr/>
      </xdr:nvGraphicFramePr>
      <xdr:xfrm>
        <a:off x="6071870" y="4876800"/>
        <a:ext cx="6746875" cy="297624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53340</xdr:colOff>
      <xdr:row>25</xdr:row>
      <xdr:rowOff>180340</xdr:rowOff>
    </xdr:from>
    <xdr:to>
      <xdr:col>8</xdr:col>
      <xdr:colOff>405765</xdr:colOff>
      <xdr:row>42</xdr:row>
      <xdr:rowOff>27305</xdr:rowOff>
    </xdr:to>
    <xdr:graphicFrame>
      <xdr:nvGraphicFramePr>
        <xdr:cNvPr id="4" name="Chart 3"/>
        <xdr:cNvGraphicFramePr/>
      </xdr:nvGraphicFramePr>
      <xdr:xfrm>
        <a:off x="53340" y="4899660"/>
        <a:ext cx="5602605" cy="295592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7620</xdr:colOff>
      <xdr:row>6</xdr:row>
      <xdr:rowOff>0</xdr:rowOff>
    </xdr:from>
    <xdr:to>
      <xdr:col>12</xdr:col>
      <xdr:colOff>559435</xdr:colOff>
      <xdr:row>25</xdr:row>
      <xdr:rowOff>114300</xdr:rowOff>
    </xdr:to>
    <xdr:graphicFrame>
      <xdr:nvGraphicFramePr>
        <xdr:cNvPr id="5" name="Chart 4"/>
        <xdr:cNvGraphicFramePr/>
      </xdr:nvGraphicFramePr>
      <xdr:xfrm>
        <a:off x="7620" y="1097280"/>
        <a:ext cx="8240395" cy="37363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7620</xdr:colOff>
      <xdr:row>6</xdr:row>
      <xdr:rowOff>5080</xdr:rowOff>
    </xdr:from>
    <xdr:to>
      <xdr:col>3</xdr:col>
      <xdr:colOff>0</xdr:colOff>
      <xdr:row>23</xdr:row>
      <xdr:rowOff>84455</xdr:rowOff>
    </xdr:to>
    <mc:AlternateContent xmlns:mc="http://schemas.openxmlformats.org/markup-compatibility/2006">
      <mc:Choice xmlns:a14="http://schemas.microsoft.com/office/drawing/2010/main" Requires="a14">
        <xdr:graphicFrame>
          <xdr:nvGraphicFramePr>
            <xdr:cNvPr id="7" name="performance"/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erformanc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7620" y="1102360"/>
              <a:ext cx="1821180" cy="333565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sz="1100"/>
                <a:t>This shape represents a slicer. 
Slicers are not supported in this version. Please update to the latest version of WPS Office.</a:t>
              </a:r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0432175926" refreshedBy="josep" recordCount="5">
  <cacheSource type="worksheet">
    <worksheetSource ref="A1:C6" sheet="avg_order_amt"/>
  </cacheSource>
  <cacheFields count="3">
    <cacheField name="area" numFmtId="0">
      <sharedItems count="5">
        <s v="Suryapet"/>
        <s v="Phusro"/>
        <s v="Kulti"/>
        <s v="Nadiad"/>
        <s v="Siwan"/>
      </sharedItems>
    </cacheField>
    <cacheField name="no_of_order" numFmtId="0">
      <sharedItems containsSemiMixedTypes="0" containsString="0" containsNumber="1" containsInteger="1" minValue="0" maxValue="66" count="5">
        <n v="44"/>
        <n v="27"/>
        <n v="29"/>
        <n v="55"/>
        <n v="66"/>
      </sharedItems>
    </cacheField>
    <cacheField name="avg_order_amt" numFmtId="0">
      <sharedItems containsSemiMixedTypes="0" containsString="0" containsNumber="1" minValue="0" maxValue="1697" count="5">
        <n v="1697"/>
        <n v="1693.85"/>
        <n v="1563.56"/>
        <n v="1551.5"/>
        <n v="1489.34"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043912037" refreshedBy="josep" recordCount="5">
  <cacheSource type="worksheet">
    <worksheetSource ref="A1:C6" sheet="no_of_order"/>
  </cacheSource>
  <cacheFields count="3">
    <cacheField name="area" numFmtId="0">
      <sharedItems count="5">
        <s v="Deoghar"/>
        <s v="Orai"/>
        <s v="Jalna"/>
        <s v="Bathinda"/>
        <s v="Machilipatnam"/>
      </sharedItems>
    </cacheField>
    <cacheField name="avg_order_amt" numFmtId="0">
      <sharedItems containsSemiMixedTypes="0" containsString="0" containsNumber="1" minValue="0" maxValue="1273.02" count="5">
        <n v="1139.37"/>
        <n v="1116.72"/>
        <n v="1273.02"/>
        <n v="1136.22"/>
        <n v="1027.97"/>
      </sharedItems>
    </cacheField>
    <cacheField name="no_of_order" numFmtId="0">
      <sharedItems containsSemiMixedTypes="0" containsString="0" containsNumber="1" containsInteger="1" minValue="0" maxValue="200" count="5">
        <n v="200"/>
        <n v="190"/>
        <n v="175"/>
        <n v="168"/>
        <n v="164"/>
      </sharedItems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createdVersion="5" refreshedVersion="5" minRefreshableVersion="3" refreshedDate="45989.0445601852" refreshedBy="josep" recordCount="10">
  <cacheSource type="worksheet">
    <worksheetSource ref="A1:C11" sheet="deli_performance"/>
  </cacheSource>
  <cacheFields count="3">
    <cacheField name="area" numFmtId="0">
      <sharedItems count="10">
        <s v="Jalna"/>
        <s v="Kulti"/>
        <s v="Deoghar"/>
        <s v="Bathinda"/>
        <s v="Machilipatnam"/>
        <s v="Suryapet"/>
        <s v="Orai"/>
        <s v="Siwan"/>
        <s v="Nadiad"/>
        <s v="Phusro"/>
      </sharedItems>
    </cacheField>
    <cacheField name="avg_delivery_mins" numFmtId="0">
      <sharedItems containsSemiMixedTypes="0" containsString="0" containsNumber="1" minValue="0" maxValue="12.75" count="10">
        <n v="2.43"/>
        <n v="3.7"/>
        <n v="3.73"/>
        <n v="4.74"/>
        <n v="4.78"/>
        <n v="5.71"/>
        <n v="5.98"/>
        <n v="9.25"/>
        <n v="10.43"/>
        <n v="12.75"/>
      </sharedItems>
    </cacheField>
    <cacheField name="performance" numFmtId="0">
      <sharedItems count="3">
        <s v="Good"/>
        <s v="Decent"/>
        <s v="Bad"/>
      </sharedItems>
    </cacheField>
  </cacheFields>
  <extLst>
    <ext xmlns:x14="http://schemas.microsoft.com/office/spreadsheetml/2009/9/main" uri="{725AE2AE-9491-48be-B2B4-4EB974FC3084}">
      <x14:pivotCacheDefinition pivotCacheId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">
  <r>
    <x v="0"/>
    <x v="0"/>
    <x v="0"/>
  </r>
  <r>
    <x v="1"/>
    <x v="1"/>
    <x v="1"/>
  </r>
  <r>
    <x v="2"/>
    <x v="2"/>
    <x v="2"/>
  </r>
  <r>
    <x v="3"/>
    <x v="3"/>
    <x v="3"/>
  </r>
  <r>
    <x v="4"/>
    <x v="4"/>
    <x v="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10">
  <r>
    <x v="0"/>
    <x v="0"/>
    <x v="0"/>
  </r>
  <r>
    <x v="1"/>
    <x v="1"/>
    <x v="0"/>
  </r>
  <r>
    <x v="2"/>
    <x v="2"/>
    <x v="0"/>
  </r>
  <r>
    <x v="3"/>
    <x v="3"/>
    <x v="0"/>
  </r>
  <r>
    <x v="4"/>
    <x v="4"/>
    <x v="0"/>
  </r>
  <r>
    <x v="5"/>
    <x v="5"/>
    <x v="1"/>
  </r>
  <r>
    <x v="6"/>
    <x v="6"/>
    <x v="1"/>
  </r>
  <r>
    <x v="7"/>
    <x v="7"/>
    <x v="1"/>
  </r>
  <r>
    <x v="8"/>
    <x v="8"/>
    <x v="2"/>
  </r>
  <r>
    <x v="9"/>
    <x v="9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pivotTable1.xml><?xml version="1.0" encoding="utf-8"?>
<pivotTableDefinition xmlns="http://schemas.openxmlformats.org/spreadsheetml/2006/main" name="PivotTable1" cacheId="0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2:C8" firstHeaderRow="0" firstDataRow="1" firstDataCol="1"/>
  <pivotFields count="3">
    <pivotField axis="axisRow" compact="0" showAll="0">
      <items count="6">
        <item x="2"/>
        <item x="3"/>
        <item x="1"/>
        <item x="4"/>
        <item x="0"/>
        <item t="default"/>
      </items>
    </pivotField>
    <pivotField compact="0" showAll="0"/>
    <pivotField dataField="1" compact="0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rder Amount" fld="2" baseField="0" baseItem="0"/>
    <dataField name="Percentage Distribution" fld="2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2" cacheId="1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4">
  <location ref="A11:C17" firstHeaderRow="0" firstDataRow="1" firstDataCol="1"/>
  <pivotFields count="3">
    <pivotField axis="axisRow" compact="0" showAll="0">
      <items count="6">
        <item x="3"/>
        <item x="0"/>
        <item x="2"/>
        <item x="4"/>
        <item x="1"/>
        <item t="default"/>
      </items>
    </pivotField>
    <pivotField compact="0" showAll="0"/>
    <pivotField dataField="1" compact="0" showAll="0">
      <items count="6">
        <item x="4"/>
        <item x="3"/>
        <item x="2"/>
        <item x="1"/>
        <item x="0"/>
        <item t="default"/>
      </items>
    </pivotField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2">
    <i>
      <x/>
    </i>
    <i i="1">
      <x v="1"/>
    </i>
  </colItems>
  <dataFields count="2">
    <dataField name="No.of Orders" fld="2" baseField="0" baseItem="0"/>
    <dataField name="Percentage Distribution" fld="2" showDataAs="percentOfTotal" baseField="0" baseItem="0" numFmtId="1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3" cacheId="2" autoFormatId="1" applyNumberFormats="0" applyBorderFormats="0" applyFontFormats="0" applyPatternFormats="0" applyAlignmentFormats="0" applyWidthHeightFormats="1" dataCaption="Values" updatedVersion="5" minRefreshableVersion="3" createdVersion="5" useAutoFormatting="1" compact="0" indent="0" outline="1" compactData="0" outlineData="1" showDrill="1" multipleFieldFilters="0" chartFormat="8">
  <location ref="E3:F14" firstHeaderRow="1" firstDataRow="1" firstDataCol="1" rowPageCount="1" colPageCount="1"/>
  <pivotFields count="3">
    <pivotField axis="axisRow" compact="0" showAll="0">
      <items count="11">
        <item x="3"/>
        <item x="2"/>
        <item x="0"/>
        <item x="1"/>
        <item x="4"/>
        <item x="8"/>
        <item x="6"/>
        <item x="9"/>
        <item x="7"/>
        <item x="5"/>
        <item t="default"/>
      </items>
    </pivotField>
    <pivotField dataField="1" compact="0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axis="axisPage" compact="0" multipleItemSelectionAllowed="1" showAll="0">
      <items count="4">
        <item x="2"/>
        <item x="1"/>
        <item x="0"/>
        <item t="default"/>
      </items>
    </pivotField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Items count="1">
    <i/>
  </colItems>
  <pageFields count="1">
    <pageField fld="2"/>
  </pageFields>
  <dataFields count="1">
    <dataField name="Average Delivery Mins" fld="1" subtotal="average" baseField="0" baseItem="0"/>
  </dataFields>
  <pivotTableStyleInfo name="PivotStylePreset2_Accent1" showRowHeaders="1" showColHeaders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mc:Ignorable="x" name="Slicer_performance" sourceName="performance">
  <pivotTables>
    <pivotTable tabId="4" name="PivotTable3"/>
  </pivotTables>
  <data>
    <tabular pivotCacheId="1">
      <items count="3">
        <i x="2" s="1"/>
        <i x="1" s="1"/>
        <i x="0" s="1"/>
      </items>
    </tabular>
  </data>
  <extLst/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mc:Ignorable="x">
  <slicer name="performance" cache="Slicer_performance" caption="performance" style="Slicer Style 1" rowHeight="225425"/>
</slicer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5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" sqref="C1:C6"/>
    </sheetView>
  </sheetViews>
  <sheetFormatPr defaultColWidth="8.88888888888889" defaultRowHeight="14.4" outlineLevelRow="5" outlineLevelCol="2"/>
  <cols>
    <col min="1" max="1" width="13.5555555555556" customWidth="1"/>
    <col min="2" max="3" width="17.4444444444444" customWidth="1"/>
  </cols>
  <sheetData>
    <row r="1" spans="1:3">
      <c r="A1" s="34" t="s">
        <v>0</v>
      </c>
      <c r="B1" s="34" t="s">
        <v>1</v>
      </c>
      <c r="C1" s="34" t="s">
        <v>2</v>
      </c>
    </row>
    <row r="2" spans="1:3">
      <c r="A2" t="s">
        <v>3</v>
      </c>
      <c r="B2">
        <v>44</v>
      </c>
      <c r="C2">
        <v>1697</v>
      </c>
    </row>
    <row r="3" spans="1:3">
      <c r="A3" t="s">
        <v>4</v>
      </c>
      <c r="B3">
        <v>27</v>
      </c>
      <c r="C3">
        <v>1693.85</v>
      </c>
    </row>
    <row r="4" spans="1:3">
      <c r="A4" t="s">
        <v>5</v>
      </c>
      <c r="B4">
        <v>29</v>
      </c>
      <c r="C4">
        <v>1563.56</v>
      </c>
    </row>
    <row r="5" spans="1:3">
      <c r="A5" t="s">
        <v>6</v>
      </c>
      <c r="B5">
        <v>55</v>
      </c>
      <c r="C5">
        <v>1551.5</v>
      </c>
    </row>
    <row r="6" spans="1:3">
      <c r="A6" t="s">
        <v>7</v>
      </c>
      <c r="B6">
        <v>66</v>
      </c>
      <c r="C6">
        <v>1489.34</v>
      </c>
    </row>
  </sheetData>
  <autoFilter xmlns:etc="http://www.wps.cn/officeDocument/2017/etCustomData" ref="A1:C6" etc:filterBottomFollowUsedRange="0">
    <extLst/>
  </autoFilter>
  <pageMargins left="0.75" right="0.75" top="1" bottom="1" header="0.5" footer="0.5"/>
  <pageSetup paperSize="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"/>
  <sheetViews>
    <sheetView workbookViewId="0">
      <selection activeCell="C1" sqref="C1:C6"/>
    </sheetView>
  </sheetViews>
  <sheetFormatPr defaultColWidth="8.88888888888889" defaultRowHeight="14.4" outlineLevelRow="5" outlineLevelCol="2"/>
  <cols>
    <col min="1" max="1" width="14.4444444444444" customWidth="1"/>
    <col min="2" max="2" width="17.8888888888889" customWidth="1"/>
    <col min="3" max="3" width="15.6666666666667" customWidth="1"/>
  </cols>
  <sheetData>
    <row r="1" spans="1:3">
      <c r="A1" s="34" t="s">
        <v>0</v>
      </c>
      <c r="B1" s="34" t="s">
        <v>2</v>
      </c>
      <c r="C1" s="34" t="s">
        <v>1</v>
      </c>
    </row>
    <row r="2" spans="1:3">
      <c r="A2" t="s">
        <v>8</v>
      </c>
      <c r="B2">
        <v>1139.37</v>
      </c>
      <c r="C2">
        <v>200</v>
      </c>
    </row>
    <row r="3" spans="1:3">
      <c r="A3" t="s">
        <v>9</v>
      </c>
      <c r="B3">
        <v>1116.72</v>
      </c>
      <c r="C3">
        <v>190</v>
      </c>
    </row>
    <row r="4" spans="1:3">
      <c r="A4" t="s">
        <v>10</v>
      </c>
      <c r="B4">
        <v>1273.02</v>
      </c>
      <c r="C4">
        <v>175</v>
      </c>
    </row>
    <row r="5" spans="1:3">
      <c r="A5" t="s">
        <v>11</v>
      </c>
      <c r="B5">
        <v>1136.22</v>
      </c>
      <c r="C5">
        <v>168</v>
      </c>
    </row>
    <row r="6" spans="1:3">
      <c r="A6" t="s">
        <v>12</v>
      </c>
      <c r="B6">
        <v>1027.97</v>
      </c>
      <c r="C6">
        <v>164</v>
      </c>
    </row>
  </sheetData>
  <autoFilter xmlns:etc="http://www.wps.cn/officeDocument/2017/etCustomData" ref="A1:C6" etc:filterBottomFollowUsedRange="0">
    <extLst/>
  </autoFilter>
  <pageMargins left="0.75" right="0.75" top="1" bottom="1" header="0.5" footer="0.5"/>
  <pageSetup paperSize="1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1"/>
  <sheetViews>
    <sheetView workbookViewId="0">
      <selection activeCell="A2" sqref="A2"/>
    </sheetView>
  </sheetViews>
  <sheetFormatPr defaultColWidth="8.88888888888889" defaultRowHeight="14.4" outlineLevelCol="2"/>
  <cols>
    <col min="1" max="1" width="16.3333333333333" customWidth="1"/>
    <col min="2" max="2" width="23.7777777777778" customWidth="1"/>
    <col min="3" max="3" width="16.5555555555556" customWidth="1"/>
  </cols>
  <sheetData>
    <row r="1" spans="1:3">
      <c r="A1" s="34" t="s">
        <v>0</v>
      </c>
      <c r="B1" s="34" t="s">
        <v>13</v>
      </c>
      <c r="C1" s="34" t="s">
        <v>14</v>
      </c>
    </row>
    <row r="2" spans="1:3">
      <c r="A2" t="s">
        <v>10</v>
      </c>
      <c r="B2">
        <v>2.43</v>
      </c>
      <c r="C2" t="s">
        <v>15</v>
      </c>
    </row>
    <row r="3" spans="1:3">
      <c r="A3" t="s">
        <v>5</v>
      </c>
      <c r="B3">
        <v>3.7</v>
      </c>
      <c r="C3" t="s">
        <v>15</v>
      </c>
    </row>
    <row r="4" spans="1:3">
      <c r="A4" t="s">
        <v>8</v>
      </c>
      <c r="B4">
        <v>3.73</v>
      </c>
      <c r="C4" t="s">
        <v>15</v>
      </c>
    </row>
    <row r="5" spans="1:3">
      <c r="A5" t="s">
        <v>11</v>
      </c>
      <c r="B5">
        <v>4.74</v>
      </c>
      <c r="C5" t="s">
        <v>15</v>
      </c>
    </row>
    <row r="6" spans="1:3">
      <c r="A6" t="s">
        <v>12</v>
      </c>
      <c r="B6">
        <v>4.78</v>
      </c>
      <c r="C6" t="s">
        <v>15</v>
      </c>
    </row>
    <row r="7" spans="1:3">
      <c r="A7" t="s">
        <v>3</v>
      </c>
      <c r="B7">
        <v>5.71</v>
      </c>
      <c r="C7" t="s">
        <v>16</v>
      </c>
    </row>
    <row r="8" spans="1:3">
      <c r="A8" t="s">
        <v>9</v>
      </c>
      <c r="B8">
        <v>5.98</v>
      </c>
      <c r="C8" t="s">
        <v>16</v>
      </c>
    </row>
    <row r="9" spans="1:3">
      <c r="A9" t="s">
        <v>7</v>
      </c>
      <c r="B9">
        <v>9.25</v>
      </c>
      <c r="C9" t="s">
        <v>16</v>
      </c>
    </row>
    <row r="10" spans="1:3">
      <c r="A10" t="s">
        <v>6</v>
      </c>
      <c r="B10">
        <v>10.43</v>
      </c>
      <c r="C10" t="s">
        <v>17</v>
      </c>
    </row>
    <row r="11" spans="1:3">
      <c r="A11" t="s">
        <v>4</v>
      </c>
      <c r="B11">
        <v>12.75</v>
      </c>
      <c r="C11" t="s">
        <v>17</v>
      </c>
    </row>
  </sheetData>
  <autoFilter xmlns:etc="http://www.wps.cn/officeDocument/2017/etCustomData" ref="A1:C11" etc:filterBottomFollowUsedRange="0">
    <extLst/>
  </autoFilter>
  <pageMargins left="0.75" right="0.75" top="1" bottom="1" header="0.5" footer="0.5"/>
  <pageSetup paperSize="1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7"/>
  <sheetViews>
    <sheetView workbookViewId="0">
      <selection activeCell="E3" sqref="E3"/>
    </sheetView>
  </sheetViews>
  <sheetFormatPr defaultColWidth="8.88888888888889" defaultRowHeight="14.4" outlineLevelCol="5"/>
  <cols>
    <col min="1" max="1" width="14.2222222222222"/>
    <col min="2" max="3" width="22"/>
    <col min="4" max="4" width="8.77777777777778"/>
    <col min="5" max="5" width="14.2222222222222"/>
    <col min="6" max="6" width="21.6666666666667"/>
    <col min="7" max="8" width="14.5555555555556"/>
    <col min="9" max="9" width="11.4444444444444"/>
    <col min="10" max="15" width="19.4444444444444"/>
    <col min="16" max="16" width="11.4444444444444"/>
  </cols>
  <sheetData>
    <row r="1" spans="5:6">
      <c r="E1" t="s">
        <v>14</v>
      </c>
      <c r="F1" t="s">
        <v>18</v>
      </c>
    </row>
    <row r="2" spans="1:3">
      <c r="A2" t="s">
        <v>0</v>
      </c>
      <c r="B2" t="s">
        <v>19</v>
      </c>
      <c r="C2" t="s">
        <v>20</v>
      </c>
    </row>
    <row r="3" spans="1:6">
      <c r="A3" t="s">
        <v>5</v>
      </c>
      <c r="B3">
        <v>1563.56</v>
      </c>
      <c r="C3" s="33">
        <v>0.195561114411682</v>
      </c>
      <c r="E3" t="s">
        <v>0</v>
      </c>
      <c r="F3" t="s">
        <v>21</v>
      </c>
    </row>
    <row r="4" spans="1:6">
      <c r="A4" t="s">
        <v>6</v>
      </c>
      <c r="B4">
        <v>1551.5</v>
      </c>
      <c r="C4" s="33">
        <v>0.194052718801789</v>
      </c>
      <c r="E4" t="s">
        <v>11</v>
      </c>
      <c r="F4">
        <v>4.74</v>
      </c>
    </row>
    <row r="5" spans="1:6">
      <c r="A5" t="s">
        <v>4</v>
      </c>
      <c r="B5">
        <v>1693.85</v>
      </c>
      <c r="C5" s="33">
        <v>0.21185704011757</v>
      </c>
      <c r="E5" t="s">
        <v>8</v>
      </c>
      <c r="F5">
        <v>3.73</v>
      </c>
    </row>
    <row r="6" spans="1:6">
      <c r="A6" t="s">
        <v>7</v>
      </c>
      <c r="B6">
        <v>1489.34</v>
      </c>
      <c r="C6" s="33">
        <v>0.186278102623433</v>
      </c>
      <c r="E6" t="s">
        <v>10</v>
      </c>
      <c r="F6">
        <v>2.43</v>
      </c>
    </row>
    <row r="7" spans="1:6">
      <c r="A7" t="s">
        <v>3</v>
      </c>
      <c r="B7">
        <v>1697</v>
      </c>
      <c r="C7" s="33">
        <v>0.212251024045527</v>
      </c>
      <c r="E7" t="s">
        <v>5</v>
      </c>
      <c r="F7">
        <v>3.7</v>
      </c>
    </row>
    <row r="8" spans="1:6">
      <c r="A8" t="s">
        <v>22</v>
      </c>
      <c r="B8">
        <v>7995.25</v>
      </c>
      <c r="C8" s="33">
        <v>1</v>
      </c>
      <c r="E8" t="s">
        <v>12</v>
      </c>
      <c r="F8">
        <v>4.78</v>
      </c>
    </row>
    <row r="9" spans="5:6">
      <c r="E9" t="s">
        <v>6</v>
      </c>
      <c r="F9">
        <v>10.43</v>
      </c>
    </row>
    <row r="10" spans="5:6">
      <c r="E10" t="s">
        <v>9</v>
      </c>
      <c r="F10">
        <v>5.98</v>
      </c>
    </row>
    <row r="11" spans="1:6">
      <c r="A11" t="s">
        <v>0</v>
      </c>
      <c r="B11" t="s">
        <v>23</v>
      </c>
      <c r="C11" t="s">
        <v>20</v>
      </c>
      <c r="E11" t="s">
        <v>4</v>
      </c>
      <c r="F11">
        <v>12.75</v>
      </c>
    </row>
    <row r="12" spans="1:6">
      <c r="A12" t="s">
        <v>11</v>
      </c>
      <c r="B12">
        <v>168</v>
      </c>
      <c r="C12" s="33">
        <v>0.187290969899666</v>
      </c>
      <c r="E12" t="s">
        <v>7</v>
      </c>
      <c r="F12">
        <v>9.25</v>
      </c>
    </row>
    <row r="13" spans="1:6">
      <c r="A13" t="s">
        <v>8</v>
      </c>
      <c r="B13">
        <v>200</v>
      </c>
      <c r="C13" s="33">
        <v>0.222965440356745</v>
      </c>
      <c r="E13" t="s">
        <v>3</v>
      </c>
      <c r="F13">
        <v>5.71</v>
      </c>
    </row>
    <row r="14" spans="1:6">
      <c r="A14" t="s">
        <v>10</v>
      </c>
      <c r="B14">
        <v>175</v>
      </c>
      <c r="C14" s="33">
        <v>0.195094760312152</v>
      </c>
      <c r="E14" t="s">
        <v>22</v>
      </c>
      <c r="F14">
        <v>6.35</v>
      </c>
    </row>
    <row r="15" spans="1:3">
      <c r="A15" t="s">
        <v>12</v>
      </c>
      <c r="B15">
        <v>164</v>
      </c>
      <c r="C15" s="33">
        <v>0.182831661092531</v>
      </c>
    </row>
    <row r="16" spans="1:3">
      <c r="A16" t="s">
        <v>9</v>
      </c>
      <c r="B16">
        <v>190</v>
      </c>
      <c r="C16" s="33">
        <v>0.211817168338907</v>
      </c>
    </row>
    <row r="17" spans="1:3">
      <c r="A17" t="s">
        <v>22</v>
      </c>
      <c r="B17">
        <v>897</v>
      </c>
      <c r="C17" s="33">
        <v>1</v>
      </c>
    </row>
  </sheetData>
  <pageMargins left="0.75" right="0.75" top="1" bottom="1" header="0.5" footer="0.5"/>
  <pageSetup paperSize="1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V58"/>
  <sheetViews>
    <sheetView showGridLines="0" tabSelected="1" workbookViewId="0">
      <selection activeCell="P45" sqref="P45"/>
    </sheetView>
  </sheetViews>
  <sheetFormatPr defaultColWidth="8.88888888888889" defaultRowHeight="14.4"/>
  <cols>
    <col min="6" max="6" width="14.3333333333333" customWidth="1"/>
    <col min="14" max="14" width="15.3333333333333" customWidth="1"/>
    <col min="15" max="15" width="22.8888888888889" customWidth="1"/>
    <col min="16" max="16" width="18.8888888888889" customWidth="1"/>
  </cols>
  <sheetData>
    <row r="1" spans="1:17">
      <c r="A1" s="2" t="s">
        <v>24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ht="17.4" spans="13:22">
      <c r="M7" s="3"/>
      <c r="N7" s="13"/>
      <c r="O7" s="14"/>
      <c r="P7" s="14"/>
      <c r="Q7" s="3"/>
      <c r="T7" s="29"/>
      <c r="U7" s="30"/>
      <c r="V7" s="30"/>
    </row>
    <row r="8" spans="13:22">
      <c r="M8" s="3"/>
      <c r="N8" s="15"/>
      <c r="O8" s="16"/>
      <c r="P8" s="16"/>
      <c r="Q8" s="3"/>
      <c r="T8" s="31"/>
      <c r="U8" s="32"/>
      <c r="V8" s="32"/>
    </row>
    <row r="9" spans="13:22">
      <c r="M9" s="3"/>
      <c r="N9" s="15"/>
      <c r="O9" s="16"/>
      <c r="P9" s="16"/>
      <c r="Q9" s="3"/>
      <c r="T9" s="31"/>
      <c r="U9" s="32"/>
      <c r="V9" s="32"/>
    </row>
    <row r="10" spans="13:22">
      <c r="M10" s="3"/>
      <c r="N10" s="15"/>
      <c r="O10" s="16"/>
      <c r="P10" s="16"/>
      <c r="Q10" s="3"/>
      <c r="T10" s="31"/>
      <c r="U10" s="32"/>
      <c r="V10" s="32"/>
    </row>
    <row r="11" ht="23" customHeight="1" spans="13:22">
      <c r="M11" s="3"/>
      <c r="N11" s="17" t="s">
        <v>25</v>
      </c>
      <c r="O11" s="17" t="s">
        <v>26</v>
      </c>
      <c r="P11" s="17" t="s">
        <v>27</v>
      </c>
      <c r="Q11" s="3"/>
      <c r="T11" s="31"/>
      <c r="U11" s="32"/>
      <c r="V11" s="32"/>
    </row>
    <row r="12" spans="13:22">
      <c r="M12" s="3"/>
      <c r="N12" s="18" t="str">
        <f>deli_performance!A2</f>
        <v>Jalna</v>
      </c>
      <c r="O12" s="19">
        <f>deli_performance!B2</f>
        <v>2.43</v>
      </c>
      <c r="P12" s="20" t="str">
        <f>deli_performance!C2</f>
        <v>Good</v>
      </c>
      <c r="Q12" s="3"/>
      <c r="T12" s="31"/>
      <c r="U12" s="32"/>
      <c r="V12" s="32"/>
    </row>
    <row r="13" spans="13:22">
      <c r="M13" s="3"/>
      <c r="N13" s="21" t="str">
        <f>deli_performance!A3</f>
        <v>Kulti</v>
      </c>
      <c r="O13" s="22">
        <f>deli_performance!B3</f>
        <v>3.7</v>
      </c>
      <c r="P13" s="23" t="str">
        <f>deli_performance!C3</f>
        <v>Good</v>
      </c>
      <c r="Q13" s="3"/>
      <c r="T13" s="31"/>
      <c r="U13" s="32"/>
      <c r="V13" s="32"/>
    </row>
    <row r="14" spans="13:22">
      <c r="M14" s="3"/>
      <c r="N14" s="21" t="str">
        <f>deli_performance!A4</f>
        <v>Deoghar</v>
      </c>
      <c r="O14" s="22">
        <f>deli_performance!B4</f>
        <v>3.73</v>
      </c>
      <c r="P14" s="23" t="str">
        <f>deli_performance!C4</f>
        <v>Good</v>
      </c>
      <c r="Q14" s="3"/>
      <c r="T14" s="31"/>
      <c r="U14" s="32"/>
      <c r="V14" s="32"/>
    </row>
    <row r="15" spans="13:22">
      <c r="M15" s="3"/>
      <c r="N15" s="21" t="str">
        <f>deli_performance!A5</f>
        <v>Bathinda</v>
      </c>
      <c r="O15" s="22">
        <f>deli_performance!B5</f>
        <v>4.74</v>
      </c>
      <c r="P15" s="23" t="str">
        <f>deli_performance!C5</f>
        <v>Good</v>
      </c>
      <c r="Q15" s="3"/>
      <c r="T15" s="31"/>
      <c r="U15" s="32"/>
      <c r="V15" s="32"/>
    </row>
    <row r="16" spans="13:22">
      <c r="M16" s="3"/>
      <c r="N16" s="21" t="str">
        <f>deli_performance!A6</f>
        <v>Machilipatnam</v>
      </c>
      <c r="O16" s="22">
        <f>deli_performance!B6</f>
        <v>4.78</v>
      </c>
      <c r="P16" s="23" t="str">
        <f>deli_performance!C6</f>
        <v>Good</v>
      </c>
      <c r="Q16" s="3"/>
      <c r="T16" s="31"/>
      <c r="U16" s="32"/>
      <c r="V16" s="32"/>
    </row>
    <row r="17" spans="13:22">
      <c r="M17" s="3"/>
      <c r="N17" s="21" t="str">
        <f>deli_performance!A7</f>
        <v>Suryapet</v>
      </c>
      <c r="O17" s="22">
        <f>deli_performance!B7</f>
        <v>5.71</v>
      </c>
      <c r="P17" s="23" t="str">
        <f>deli_performance!C7</f>
        <v>Decent</v>
      </c>
      <c r="Q17" s="3"/>
      <c r="T17" s="31"/>
      <c r="U17" s="32"/>
      <c r="V17" s="32"/>
    </row>
    <row r="18" spans="13:17">
      <c r="M18" s="3"/>
      <c r="N18" s="21" t="str">
        <f>deli_performance!A8</f>
        <v>Orai</v>
      </c>
      <c r="O18" s="22">
        <f>deli_performance!B8</f>
        <v>5.98</v>
      </c>
      <c r="P18" s="23" t="str">
        <f>deli_performance!C8</f>
        <v>Decent</v>
      </c>
      <c r="Q18" s="3"/>
    </row>
    <row r="19" spans="13:17">
      <c r="M19" s="3"/>
      <c r="N19" s="21" t="str">
        <f>deli_performance!A9</f>
        <v>Siwan</v>
      </c>
      <c r="O19" s="22">
        <f>deli_performance!B9</f>
        <v>9.25</v>
      </c>
      <c r="P19" s="23" t="str">
        <f>deli_performance!C9</f>
        <v>Decent</v>
      </c>
      <c r="Q19" s="3"/>
    </row>
    <row r="20" spans="13:17">
      <c r="M20" s="3"/>
      <c r="N20" s="21" t="str">
        <f>deli_performance!A10</f>
        <v>Nadiad</v>
      </c>
      <c r="O20" s="22">
        <f>deli_performance!B10</f>
        <v>10.43</v>
      </c>
      <c r="P20" s="23" t="str">
        <f>deli_performance!C10</f>
        <v>Bad</v>
      </c>
      <c r="Q20" s="3"/>
    </row>
    <row r="21" spans="13:17">
      <c r="M21" s="3"/>
      <c r="N21" s="24" t="str">
        <f>deli_performance!A11</f>
        <v>Phusro</v>
      </c>
      <c r="O21" s="25">
        <f>deli_performance!B11</f>
        <v>12.75</v>
      </c>
      <c r="P21" s="26" t="str">
        <f>deli_performance!C11</f>
        <v>Bad</v>
      </c>
      <c r="Q21" s="3"/>
    </row>
    <row r="22" spans="13:17">
      <c r="M22" s="3"/>
      <c r="N22" s="3"/>
      <c r="O22" s="3"/>
      <c r="P22" s="3"/>
      <c r="Q22" s="3"/>
    </row>
    <row r="23" spans="13:17">
      <c r="M23" s="3"/>
      <c r="N23" s="3"/>
      <c r="O23" s="3"/>
      <c r="P23" s="3"/>
      <c r="Q23" s="3"/>
    </row>
    <row r="24" spans="13:17">
      <c r="M24" s="3"/>
      <c r="N24" s="3"/>
      <c r="O24" s="3"/>
      <c r="P24" s="3"/>
      <c r="Q24" s="3"/>
    </row>
    <row r="25" spans="13:17">
      <c r="M25" s="3"/>
      <c r="N25" s="3"/>
      <c r="O25" s="3"/>
      <c r="P25" s="3"/>
      <c r="Q25" s="3"/>
    </row>
    <row r="26" s="1" customFormat="1" spans="1:17">
      <c r="A26" s="3"/>
      <c r="B26" s="3"/>
      <c r="C26" s="3"/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</row>
    <row r="27" spans="1:17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</row>
    <row r="28" spans="1:17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</row>
    <row r="29" spans="1:17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</row>
    <row r="30" spans="1:17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</row>
    <row r="31" spans="1:17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</row>
    <row r="32" spans="1:17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</row>
    <row r="33" spans="1:17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</row>
    <row r="34" spans="1:17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</row>
    <row r="35" spans="1:17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</row>
    <row r="36" spans="1:17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</row>
    <row r="37" spans="1:17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</row>
    <row r="38" spans="1:17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</row>
    <row r="39" spans="1:17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1:17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1:17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</row>
    <row r="42" spans="1:17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</row>
    <row r="43" spans="1:17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</row>
    <row r="44" ht="18.6" spans="1:17">
      <c r="A44" s="4"/>
      <c r="B44" s="3"/>
      <c r="C44" s="5"/>
      <c r="D44" s="5" t="s">
        <v>25</v>
      </c>
      <c r="E44" s="6"/>
      <c r="F44" s="7" t="s">
        <v>28</v>
      </c>
      <c r="G44" s="3"/>
      <c r="H44" s="3"/>
      <c r="I44" s="3"/>
      <c r="J44" s="3"/>
      <c r="K44" s="3"/>
      <c r="L44" s="3"/>
      <c r="M44" s="3"/>
      <c r="N44" s="7" t="s">
        <v>25</v>
      </c>
      <c r="O44" s="27" t="s">
        <v>29</v>
      </c>
      <c r="P44" s="3"/>
      <c r="Q44" s="3"/>
    </row>
    <row r="45" spans="1:17">
      <c r="A45" s="3"/>
      <c r="B45" s="3"/>
      <c r="C45" s="8"/>
      <c r="D45" s="8" t="str">
        <f>no_of_order!A2</f>
        <v>Deoghar</v>
      </c>
      <c r="E45" s="8"/>
      <c r="F45" s="8">
        <f>no_of_order!C2</f>
        <v>200</v>
      </c>
      <c r="G45" s="3"/>
      <c r="H45" s="3"/>
      <c r="I45" s="3"/>
      <c r="J45" s="3"/>
      <c r="K45" s="3"/>
      <c r="L45" s="3"/>
      <c r="M45" s="3"/>
      <c r="N45" s="8" t="str">
        <f>avg_order_amt!A2</f>
        <v>Suryapet</v>
      </c>
      <c r="O45" s="28">
        <f>avg_order_amt!C2</f>
        <v>1697</v>
      </c>
      <c r="P45" s="3"/>
      <c r="Q45" s="3"/>
    </row>
    <row r="46" spans="1:17">
      <c r="A46" s="3"/>
      <c r="B46" s="3"/>
      <c r="C46" s="8"/>
      <c r="D46" s="8" t="str">
        <f>no_of_order!A3</f>
        <v>Orai</v>
      </c>
      <c r="E46" s="8"/>
      <c r="F46" s="8">
        <f>no_of_order!C3</f>
        <v>190</v>
      </c>
      <c r="G46" s="3"/>
      <c r="H46" s="3"/>
      <c r="I46" s="3"/>
      <c r="J46" s="3"/>
      <c r="K46" s="3"/>
      <c r="L46" s="3"/>
      <c r="M46" s="3"/>
      <c r="N46" s="8" t="str">
        <f>avg_order_amt!A3</f>
        <v>Phusro</v>
      </c>
      <c r="O46" s="28">
        <f>avg_order_amt!C3</f>
        <v>1693.85</v>
      </c>
      <c r="P46" s="3"/>
      <c r="Q46" s="3"/>
    </row>
    <row r="47" spans="1:17">
      <c r="A47" s="3"/>
      <c r="B47" s="3"/>
      <c r="C47" s="8"/>
      <c r="D47" s="8" t="str">
        <f>no_of_order!A4</f>
        <v>Jalna</v>
      </c>
      <c r="E47" s="8"/>
      <c r="F47" s="8">
        <f>no_of_order!C4</f>
        <v>175</v>
      </c>
      <c r="G47" s="3"/>
      <c r="H47" s="3"/>
      <c r="I47" s="3"/>
      <c r="J47" s="3"/>
      <c r="K47" s="3"/>
      <c r="L47" s="3"/>
      <c r="M47" s="3"/>
      <c r="N47" s="8" t="str">
        <f>avg_order_amt!A4</f>
        <v>Kulti</v>
      </c>
      <c r="O47" s="28">
        <f>avg_order_amt!C4</f>
        <v>1563.56</v>
      </c>
      <c r="P47" s="3"/>
      <c r="Q47" s="3"/>
    </row>
    <row r="48" spans="1:17">
      <c r="A48" s="3"/>
      <c r="B48" s="3"/>
      <c r="C48" s="8"/>
      <c r="D48" s="8" t="str">
        <f>no_of_order!A5</f>
        <v>Bathinda</v>
      </c>
      <c r="E48" s="8"/>
      <c r="F48" s="8">
        <f>no_of_order!C5</f>
        <v>168</v>
      </c>
      <c r="G48" s="3"/>
      <c r="H48" s="3"/>
      <c r="I48" s="3"/>
      <c r="J48" s="3"/>
      <c r="K48" s="3"/>
      <c r="L48" s="3"/>
      <c r="M48" s="3"/>
      <c r="N48" s="8" t="str">
        <f>avg_order_amt!A5</f>
        <v>Nadiad</v>
      </c>
      <c r="O48" s="28">
        <f>avg_order_amt!C5</f>
        <v>1551.5</v>
      </c>
      <c r="P48" s="3"/>
      <c r="Q48" s="3"/>
    </row>
    <row r="49" spans="1:17">
      <c r="A49" s="3"/>
      <c r="B49" s="3"/>
      <c r="C49" s="8"/>
      <c r="D49" s="8" t="str">
        <f>no_of_order!A6</f>
        <v>Machilipatnam</v>
      </c>
      <c r="E49" s="8"/>
      <c r="F49" s="8">
        <f>no_of_order!C6</f>
        <v>164</v>
      </c>
      <c r="G49" s="3"/>
      <c r="H49" s="3"/>
      <c r="I49" s="3"/>
      <c r="J49" s="3"/>
      <c r="K49" s="3"/>
      <c r="L49" s="3"/>
      <c r="M49" s="3"/>
      <c r="N49" s="8" t="str">
        <f>avg_order_amt!A6</f>
        <v>Siwan</v>
      </c>
      <c r="O49" s="28">
        <f>avg_order_amt!C6</f>
        <v>1489.34</v>
      </c>
      <c r="P49" s="3"/>
      <c r="Q49" s="3"/>
    </row>
    <row r="50" spans="1:17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</row>
    <row r="51" spans="1:17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</row>
    <row r="52" spans="1:17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</row>
    <row r="53" ht="18.6" spans="1:17">
      <c r="A53" s="1"/>
      <c r="B53" s="1"/>
      <c r="C53" s="1"/>
      <c r="D53" s="1"/>
      <c r="E53" s="9"/>
      <c r="F53" s="10"/>
      <c r="G53" s="11"/>
      <c r="H53" s="1"/>
      <c r="I53" s="1"/>
      <c r="J53" s="1"/>
      <c r="K53" s="1"/>
      <c r="L53" s="1"/>
      <c r="M53" s="1"/>
      <c r="N53" s="1"/>
      <c r="O53" s="1"/>
      <c r="P53" s="1"/>
      <c r="Q53" s="1"/>
    </row>
    <row r="54" spans="1:17">
      <c r="A54" s="1"/>
      <c r="B54" s="1"/>
      <c r="C54" s="1"/>
      <c r="D54" s="1"/>
      <c r="E54" s="12"/>
      <c r="F54" s="12"/>
      <c r="G54" s="12"/>
      <c r="H54" s="1"/>
      <c r="I54" s="1"/>
      <c r="J54" s="1"/>
      <c r="K54" s="1"/>
      <c r="L54" s="1"/>
      <c r="M54" s="1"/>
      <c r="N54" s="1"/>
      <c r="O54" s="1"/>
      <c r="P54" s="1"/>
      <c r="Q54" s="1"/>
    </row>
    <row r="55" spans="1:17">
      <c r="A55" s="1"/>
      <c r="B55" s="1"/>
      <c r="C55" s="1"/>
      <c r="D55" s="1"/>
      <c r="E55" s="12"/>
      <c r="F55" s="12"/>
      <c r="G55" s="12"/>
      <c r="H55" s="1"/>
      <c r="I55" s="1"/>
      <c r="J55" s="1"/>
      <c r="K55" s="1"/>
      <c r="L55" s="1"/>
      <c r="M55" s="1"/>
      <c r="N55" s="1"/>
      <c r="O55" s="1"/>
      <c r="P55" s="1"/>
      <c r="Q55" s="1"/>
    </row>
    <row r="56" spans="1:17">
      <c r="A56" s="1"/>
      <c r="B56" s="1"/>
      <c r="C56" s="1"/>
      <c r="D56" s="1"/>
      <c r="E56" s="12"/>
      <c r="F56" s="12"/>
      <c r="G56" s="12"/>
      <c r="H56" s="1"/>
      <c r="I56" s="1"/>
      <c r="J56" s="1"/>
      <c r="K56" s="1"/>
      <c r="L56" s="1"/>
      <c r="M56" s="1"/>
      <c r="N56" s="1"/>
      <c r="O56" s="1"/>
      <c r="P56" s="1"/>
      <c r="Q56" s="1"/>
    </row>
    <row r="57" spans="5:7">
      <c r="E57" s="12"/>
      <c r="F57" s="12"/>
      <c r="G57" s="12"/>
    </row>
    <row r="58" spans="5:7">
      <c r="E58" s="12"/>
      <c r="F58" s="12"/>
      <c r="G58" s="12"/>
    </row>
  </sheetData>
  <mergeCells count="1">
    <mergeCell ref="A1:Q6"/>
  </mergeCells>
  <conditionalFormatting sqref="O12:O21">
    <cfRule type="iconSet" priority="1">
      <iconSet iconSet="3Symbols" reverse="1">
        <cfvo type="percent" val="0"/>
        <cfvo type="num" val="5"/>
        <cfvo type="num" val="10"/>
      </iconSet>
    </cfRule>
  </conditionalFormatting>
  <pageMargins left="0.751388888888889" right="0.751388888888889" top="1" bottom="1" header="0.5" footer="0.5"/>
  <pageSetup paperSize="1" scale="61" orientation="landscape" horizontalDpi="600"/>
  <headerFooter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avg_order_amt</vt:lpstr>
      <vt:lpstr>no_of_order</vt:lpstr>
      <vt:lpstr>deli_performance</vt:lpstr>
      <vt:lpstr>pivot_tables</vt:lpstr>
      <vt:lpstr>dashboard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josep</dc:creator>
  <cp:lastModifiedBy>Joseph Ling</cp:lastModifiedBy>
  <dcterms:created xsi:type="dcterms:W3CDTF">2025-11-27T16:59:00Z</dcterms:created>
  <dcterms:modified xsi:type="dcterms:W3CDTF">2025-11-29T04:03:42Z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7C60A1AB253C438D8FF6A61E6B08940E_11</vt:lpwstr>
  </property>
  <property fmtid="{D5CDD505-2E9C-101B-9397-08002B2CF9AE}" pid="3" name="KSOProductBuildVer">
    <vt:lpwstr>1033-12.2.0.23155</vt:lpwstr>
  </property>
</Properties>
</file>