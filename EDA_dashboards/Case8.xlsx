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3"/>
  </bookViews>
  <sheets>
    <sheet name="product_profit" sheetId="1" r:id="rId1"/>
    <sheet name="stock_info" sheetId="2" r:id="rId2"/>
    <sheet name="pivot_tables" sheetId="3" r:id="rId3"/>
    <sheet name="dashboard" sheetId="4" r:id="rId4"/>
  </sheets>
  <definedNames>
    <definedName name="_xlnm._FilterDatabase" localSheetId="0" hidden="1">product_profit!$A$1:$E$7</definedName>
    <definedName name="_xlnm._FilterDatabase" localSheetId="1" hidden="1">stock_info!$A$1:$H$7</definedName>
    <definedName name="Slicer_shell_life_days">#N/A</definedName>
    <definedName name="Slicer_product_name">#N/A</definedName>
    <definedName name="Slicer_customer_segment">#N/A</definedName>
  </definedNames>
  <calcPr calcId="191029"/>
  <pivotCaches>
    <pivotCache cacheId="0" r:id="rId5"/>
    <pivotCache cacheId="1" r:id="rId6"/>
  </pivotCaches>
  <extLst>
    <ext xmlns:x14="http://schemas.microsoft.com/office/spreadsheetml/2009/9/main" uri="{BBE1A952-AA13-448e-AADC-164F8A28A991}">
      <x14:slicerCaches>
        <x14:slicerCache r:id="rId9"/>
        <x14:slicerCache r:id="rId8"/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<sst xmlns="http://schemas.openxmlformats.org/spreadsheetml/2006/main" count="66" uniqueCount="33">
  <si>
    <t>product_id</t>
  </si>
  <si>
    <t>product_name</t>
  </si>
  <si>
    <t>brand</t>
  </si>
  <si>
    <t>customer_segment</t>
  </si>
  <si>
    <t>total_profit</t>
  </si>
  <si>
    <t>Toilet Cleaner</t>
  </si>
  <si>
    <t>Gaba, Sodhi and Choudhary</t>
  </si>
  <si>
    <t>Premium</t>
  </si>
  <si>
    <t>Eggs</t>
  </si>
  <si>
    <t>Dasgupta PLC</t>
  </si>
  <si>
    <t>Cough Syrup</t>
  </si>
  <si>
    <t>Kurian-Chhabra</t>
  </si>
  <si>
    <t>Vitamins</t>
  </si>
  <si>
    <t>Kara-Golla</t>
  </si>
  <si>
    <t>Regular</t>
  </si>
  <si>
    <t>Mangoes</t>
  </si>
  <si>
    <t>Mandal-Kar</t>
  </si>
  <si>
    <t>Sugar</t>
  </si>
  <si>
    <t>Bahl, Jaggi and Nath</t>
  </si>
  <si>
    <t>received_no</t>
  </si>
  <si>
    <t>faulty_no</t>
  </si>
  <si>
    <t>qty_sellable</t>
  </si>
  <si>
    <t>qty_sold</t>
  </si>
  <si>
    <t>shell_life_days</t>
  </si>
  <si>
    <t>category</t>
  </si>
  <si>
    <t>(ALL)</t>
  </si>
  <si>
    <t>product name</t>
  </si>
  <si>
    <t>Total Profit</t>
  </si>
  <si>
    <t>Grand Total</t>
  </si>
  <si>
    <t>Quantity Sellable</t>
  </si>
  <si>
    <t>Quantity Sold</t>
  </si>
  <si>
    <t>Shell Life (days)</t>
  </si>
  <si>
    <t>Top 3 Products for "Regular" &amp; "Premium" Customers based on Total Profit, and their Stock Information in 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</si>
</sst>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2">
    <font>
      <sz val="11"/>
      <color theme="1"/>
      <name val="Calibri"/>
      <charset val="134"/>
      <scheme val="minor"/>
    </font>
    <font>
      <sz val="22"/>
      <color theme="0"/>
      <name val="Bahnschrift Condensed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9EA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ont>
        <name val="Bahnschrift"/>
        <scheme val="none"/>
        <b val="1"/>
        <i val="0"/>
        <u val="none"/>
        <sz val="12"/>
        <color theme="0"/>
      </font>
      <fill>
        <patternFill patternType="solid">
          <bgColor rgb="FF002060"/>
        </patternFill>
      </fill>
      <border>
        <left style="thick">
          <color rgb="FF002060"/>
        </left>
        <right style="thick">
          <color rgb="FF002060"/>
        </right>
        <top style="thick">
          <color rgb="FF002060"/>
        </top>
        <bottom style="thick">
          <color rgb="FF002060"/>
        </bottom>
      </border>
    </dxf>
    <dxf>
      <font>
        <name val="Bahnschrift"/>
        <scheme val="none"/>
        <b val="1"/>
        <i val="0"/>
        <u val="none"/>
        <sz val="10"/>
        <color auto="1"/>
      </font>
      <fill>
        <patternFill patternType="solid">
          <bgColor rgb="FFD9EAFF"/>
        </patternFill>
      </fill>
      <border>
        <left style="thick">
          <color rgb="FF002060"/>
        </left>
        <right style="thick">
          <color rgb="FF002060"/>
        </right>
        <top style="thick">
          <color rgb="FF002060"/>
        </top>
        <bottom style="thick">
          <color rgb="FF002060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Slicer Style 1" pivot="0" table="0" count="6" xr9:uid="{AE9508F9-A4F7-401D-9A2A-E4F470E17F96}">
      <tableStyleElement type="wholeTable" dxfId="8"/>
      <tableStyleElement type="headerRow" dxfId="7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9FC6FF"/>
      <color rgb="00B9D7FF"/>
      <color rgb="00C7E0FF"/>
      <color rgb="00F2DE00"/>
      <color rgb="00D9EAFF"/>
      <color rgb="00002060"/>
      <color rgb="00004DC2"/>
    </mruColors>
  </colors>
  <extLst>
    <ext xmlns:x14="http://schemas.microsoft.com/office/spreadsheetml/2009/9/main" uri="{46F421CA-312F-682f-3DD2-61675219B42D}">
      <x14:dxfs count="4">
        <dxf>
          <font>
            <name val="Bahnschrift"/>
            <scheme val="none"/>
            <b val="1"/>
            <i val="0"/>
            <u val="none"/>
            <sz val="10"/>
            <color theme="0"/>
          </font>
          <fill>
            <patternFill patternType="solid">
              <bgColor rgb="FF004DC2"/>
            </patternFill>
          </fill>
          <border>
            <left style="thick">
              <color rgb="FF002060"/>
            </left>
            <right style="thick">
              <color rgb="FF002060"/>
            </right>
            <top style="thick">
              <color rgb="FF002060"/>
            </top>
            <bottom style="thick">
              <color rgb="FF002060"/>
            </bottom>
          </border>
        </dxf>
        <dxf>
          <font>
            <name val="Bahnschrift"/>
            <scheme val="none"/>
            <b val="1"/>
            <i val="0"/>
            <u val="none"/>
            <sz val="10"/>
            <color theme="0"/>
          </font>
          <fill>
            <patternFill patternType="solid">
              <bgColor rgb="FF004DC2"/>
            </patternFill>
          </fill>
          <border>
            <left style="thick">
              <color rgb="FF002060"/>
            </left>
            <right style="thick">
              <color rgb="FF002060"/>
            </right>
            <top style="thick">
              <color rgb="FF002060"/>
            </top>
            <bottom style="thick">
              <color rgb="FF002060"/>
            </bottom>
          </border>
        </dxf>
        <dxf>
          <font>
            <name val="Bahnschrift"/>
            <scheme val="none"/>
            <b val="1"/>
            <i val="0"/>
            <u val="none"/>
            <sz val="10"/>
            <color theme="0"/>
          </font>
          <fill>
            <patternFill patternType="solid">
              <bgColor rgb="FF002060"/>
            </patternFill>
          </fill>
          <border>
            <left style="thick">
              <color theme="8" tint="0.4"/>
            </left>
            <right style="thick">
              <color theme="8" tint="0.4"/>
            </right>
            <top style="thick">
              <color theme="8" tint="0.4"/>
            </top>
            <bottom style="thick">
              <color theme="8" tint="0.4"/>
            </bottom>
          </border>
        </dxf>
        <dxf>
          <font>
            <name val="Bahnschrift"/>
            <scheme val="none"/>
            <b val="1"/>
            <i val="0"/>
            <u val="none"/>
            <sz val="10"/>
            <color auto="1"/>
          </font>
          <border>
            <left style="thick">
              <color rgb="FF002060"/>
            </left>
            <right style="thick">
              <color rgb="FF002060"/>
            </right>
            <top style="thick">
              <color rgb="FF002060"/>
            </top>
            <bottom style="thick">
              <color rgb="FF002060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3"/>
            <x14:slicerStyleElement type="selectedItemWithData" dxfId="2"/>
            <x14:slicerStyleElement type="hoveredUnselectedItemWithData" dxfId="1"/>
            <x14:slicerStyleElement type="hoveredSelectedItemWith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3.xml"/><Relationship Id="rId8" Type="http://schemas.microsoft.com/office/2007/relationships/slicerCache" Target="slicerCaches/slicerCache2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[Case8.xlsx]pivot_tables!PivotTable2</c:name>
    <c:fmtId val="8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pivot_tables!$B$15</c:f>
              <c:strCache>
                <c:ptCount val="1"/>
                <c:pt idx="0">
                  <c:v>Quantity Sellable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pivot_tables!$A$16:$A$22</c:f>
              <c:strCache>
                <c:ptCount val="6"/>
                <c:pt idx="0">
                  <c:v>Cough Syrup</c:v>
                </c:pt>
                <c:pt idx="1">
                  <c:v>Eggs</c:v>
                </c:pt>
                <c:pt idx="2">
                  <c:v>Mangoes</c:v>
                </c:pt>
                <c:pt idx="3">
                  <c:v>Sugar</c:v>
                </c:pt>
                <c:pt idx="4">
                  <c:v>Toilet Cleaner</c:v>
                </c:pt>
                <c:pt idx="5">
                  <c:v>Vitamins</c:v>
                </c:pt>
              </c:strCache>
            </c:strRef>
          </c:cat>
          <c:val>
            <c:numRef>
              <c:f>pivot_tables!$B$16:$B$22</c:f>
              <c:numCache>
                <c:formatCode>General</c:formatCode>
                <c:ptCount val="6"/>
                <c:pt idx="0">
                  <c:v>249</c:v>
                </c:pt>
                <c:pt idx="1">
                  <c:v>51</c:v>
                </c:pt>
                <c:pt idx="2">
                  <c:v>81</c:v>
                </c:pt>
                <c:pt idx="3">
                  <c:v>62</c:v>
                </c:pt>
                <c:pt idx="4">
                  <c:v>117</c:v>
                </c:pt>
                <c:pt idx="5">
                  <c:v>176</c:v>
                </c:pt>
              </c:numCache>
            </c:numRef>
          </c:val>
        </c:ser>
        <c:ser>
          <c:idx val="1"/>
          <c:order val="1"/>
          <c:tx>
            <c:strRef>
              <c:f>pivot_tables!$C$15</c:f>
              <c:strCache>
                <c:ptCount val="1"/>
                <c:pt idx="0">
                  <c:v>Quantity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pivot_tables!$A$16:$A$22</c:f>
              <c:strCache>
                <c:ptCount val="6"/>
                <c:pt idx="0">
                  <c:v>Cough Syrup</c:v>
                </c:pt>
                <c:pt idx="1">
                  <c:v>Eggs</c:v>
                </c:pt>
                <c:pt idx="2">
                  <c:v>Mangoes</c:v>
                </c:pt>
                <c:pt idx="3">
                  <c:v>Sugar</c:v>
                </c:pt>
                <c:pt idx="4">
                  <c:v>Toilet Cleaner</c:v>
                </c:pt>
                <c:pt idx="5">
                  <c:v>Vitamins</c:v>
                </c:pt>
              </c:strCache>
            </c:strRef>
          </c:cat>
          <c:val>
            <c:numRef>
              <c:f>pivot_tables!$C$16:$C$22</c:f>
              <c:numCache>
                <c:formatCode>General</c:formatCode>
                <c:ptCount val="6"/>
                <c:pt idx="0">
                  <c:v>28</c:v>
                </c:pt>
                <c:pt idx="1">
                  <c:v>22</c:v>
                </c:pt>
                <c:pt idx="2">
                  <c:v>34</c:v>
                </c:pt>
                <c:pt idx="3">
                  <c:v>23</c:v>
                </c:pt>
                <c:pt idx="4">
                  <c:v>25</c:v>
                </c:pt>
                <c:pt idx="5">
                  <c:v>17</c:v>
                </c:pt>
              </c:numCache>
            </c:numRef>
          </c:val>
        </c:ser>
        <c:ser>
          <c:idx val="2"/>
          <c:order val="2"/>
          <c:tx>
            <c:strRef>
              <c:f>pivot_tables!$D$15</c:f>
              <c:strCache>
                <c:ptCount val="1"/>
                <c:pt idx="0">
                  <c:v>Shell Life (days)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pivot_tables!$A$16:$A$22</c:f>
              <c:strCache>
                <c:ptCount val="6"/>
                <c:pt idx="0">
                  <c:v>Cough Syrup</c:v>
                </c:pt>
                <c:pt idx="1">
                  <c:v>Eggs</c:v>
                </c:pt>
                <c:pt idx="2">
                  <c:v>Mangoes</c:v>
                </c:pt>
                <c:pt idx="3">
                  <c:v>Sugar</c:v>
                </c:pt>
                <c:pt idx="4">
                  <c:v>Toilet Cleaner</c:v>
                </c:pt>
                <c:pt idx="5">
                  <c:v>Vitamins</c:v>
                </c:pt>
              </c:strCache>
            </c:strRef>
          </c:cat>
          <c:val>
            <c:numRef>
              <c:f>pivot_tables!$D$16:$D$22</c:f>
              <c:numCache>
                <c:formatCode>General</c:formatCode>
                <c:ptCount val="6"/>
                <c:pt idx="0">
                  <c:v>365</c:v>
                </c:pt>
                <c:pt idx="1">
                  <c:v>7</c:v>
                </c:pt>
                <c:pt idx="2">
                  <c:v>3</c:v>
                </c:pt>
                <c:pt idx="3">
                  <c:v>365</c:v>
                </c:pt>
                <c:pt idx="4">
                  <c:v>365</c:v>
                </c:pt>
                <c:pt idx="5">
                  <c:v>365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34344810"/>
        <c:axId val="992431607"/>
      </c:barChart>
      <c:catAx>
        <c:axId val="3434481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2431607"/>
        <c:crosses val="autoZero"/>
        <c:auto val="1"/>
        <c:lblAlgn val="ctr"/>
        <c:lblOffset val="100"/>
        <c:noMultiLvlLbl val="0"/>
      </c:catAx>
      <c:valAx>
        <c:axId val="992431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3448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5f3f823-18b2-4414-bef5-8dbd7069ff9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[Case8.xlsx]pivot_tables!PivotTable1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tx1">
                    <a:lumMod val="85000"/>
                    <a:lumOff val="15000"/>
                  </a:schemeClr>
                </a:solidFill>
                <a:latin typeface="Bahnschrift" panose="020B0502040204020203" charset="0"/>
                <a:cs typeface="Bahnschrift" panose="020B0502040204020203" charset="0"/>
              </a:rPr>
              <a:t>Products for “Regular” &amp; “Premium” with Highest Profit</a:t>
            </a:r>
            <a:endParaRPr b="1">
              <a:solidFill>
                <a:schemeClr val="tx1">
                  <a:lumMod val="85000"/>
                  <a:lumOff val="15000"/>
                </a:schemeClr>
              </a:solidFill>
              <a:latin typeface="Bahnschrift" panose="020B0502040204020203" charset="0"/>
              <a:cs typeface="Bahnschrift" panose="020B0502040204020203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pivot_tables!$A$4:$A$10</c:f>
              <c:strCache>
                <c:ptCount val="6"/>
                <c:pt idx="0">
                  <c:v>Cough Syrup</c:v>
                </c:pt>
                <c:pt idx="1">
                  <c:v>Eggs</c:v>
                </c:pt>
                <c:pt idx="2">
                  <c:v>Mangoes</c:v>
                </c:pt>
                <c:pt idx="3">
                  <c:v>Sugar</c:v>
                </c:pt>
                <c:pt idx="4">
                  <c:v>Toilet Cleaner</c:v>
                </c:pt>
                <c:pt idx="5">
                  <c:v>Vitamins</c:v>
                </c:pt>
              </c:strCache>
            </c:strRef>
          </c:cat>
          <c:val>
            <c:numRef>
              <c:f>pivot_tables!$B$4:$B$10</c:f>
              <c:numCache>
                <c:formatCode>General</c:formatCode>
                <c:ptCount val="6"/>
                <c:pt idx="0">
                  <c:v>23337.49</c:v>
                </c:pt>
                <c:pt idx="1">
                  <c:v>24743.03</c:v>
                </c:pt>
                <c:pt idx="2">
                  <c:v>27265.96</c:v>
                </c:pt>
                <c:pt idx="3">
                  <c:v>26053.82</c:v>
                </c:pt>
                <c:pt idx="4">
                  <c:v>28532.98</c:v>
                </c:pt>
                <c:pt idx="5">
                  <c:v>28969.83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898488588"/>
        <c:axId val="195047806"/>
      </c:barChart>
      <c:catAx>
        <c:axId val="89848858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  <c:crossAx val="195047806"/>
        <c:crosses val="autoZero"/>
        <c:auto val="1"/>
        <c:lblAlgn val="ctr"/>
        <c:lblOffset val="100"/>
        <c:noMultiLvlLbl val="0"/>
      </c:catAx>
      <c:valAx>
        <c:axId val="19504780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  <c:crossAx val="898488588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19050" cap="flat" cmpd="sng" algn="ctr">
            <a:solidFill>
              <a:srgbClr val="002060"/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62869d7-d77f-4709-af9c-e97df1098c12}"/>
      </c:ext>
    </c:extLst>
  </c:chart>
  <c:spPr>
    <a:solidFill>
      <a:srgbClr val="D9EAFF"/>
    </a:solidFill>
    <a:ln w="9525" cap="flat" cmpd="sng" algn="ctr">
      <a:noFill/>
      <a:round/>
    </a:ln>
    <a:effectLst/>
  </c:spPr>
  <c:txPr>
    <a:bodyPr/>
    <a:lstStyle/>
    <a:p>
      <a:pPr>
        <a:defRPr lang="en-US">
          <a:solidFill>
            <a:schemeClr val="tx1">
              <a:lumMod val="85000"/>
              <a:lumOff val="15000"/>
            </a:schemeClr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[Case8.xlsx]pivot_tables!PivotTable2</c:name>
    <c:fmtId val="1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tx1">
                    <a:lumMod val="85000"/>
                    <a:lumOff val="15000"/>
                  </a:schemeClr>
                </a:solidFill>
                <a:latin typeface="Bahnschrift" panose="020B0502040204020203" charset="0"/>
                <a:cs typeface="Bahnschrift" panose="020B0502040204020203" charset="0"/>
              </a:rPr>
              <a:t>2024 Stock Information on Highest Profit Products</a:t>
            </a:r>
            <a:endParaRPr b="1">
              <a:solidFill>
                <a:schemeClr val="tx1">
                  <a:lumMod val="85000"/>
                  <a:lumOff val="15000"/>
                </a:schemeClr>
              </a:solidFill>
              <a:latin typeface="Bahnschrift" panose="020B0502040204020203" charset="0"/>
              <a:cs typeface="Bahnschrift" panose="020B0502040204020203" charset="0"/>
            </a:endParaRPr>
          </a:p>
        </c:rich>
      </c:tx>
      <c:layout>
        <c:manualLayout>
          <c:xMode val="edge"/>
          <c:yMode val="edge"/>
          <c:x val="0.142975120130659"/>
          <c:y val="0.031518638213762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pivot_tables!$B$15</c:f>
              <c:strCache>
                <c:ptCount val="1"/>
                <c:pt idx="0">
                  <c:v>Quantity Sellable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pivot_tables!$A$16:$A$22</c:f>
              <c:strCache>
                <c:ptCount val="6"/>
                <c:pt idx="0">
                  <c:v>Cough Syrup</c:v>
                </c:pt>
                <c:pt idx="1">
                  <c:v>Eggs</c:v>
                </c:pt>
                <c:pt idx="2">
                  <c:v>Mangoes</c:v>
                </c:pt>
                <c:pt idx="3">
                  <c:v>Sugar</c:v>
                </c:pt>
                <c:pt idx="4">
                  <c:v>Toilet Cleaner</c:v>
                </c:pt>
                <c:pt idx="5">
                  <c:v>Vitamins</c:v>
                </c:pt>
              </c:strCache>
            </c:strRef>
          </c:cat>
          <c:val>
            <c:numRef>
              <c:f>pivot_tables!$B$16:$B$22</c:f>
              <c:numCache>
                <c:formatCode>General</c:formatCode>
                <c:ptCount val="6"/>
                <c:pt idx="0">
                  <c:v>249</c:v>
                </c:pt>
                <c:pt idx="1">
                  <c:v>51</c:v>
                </c:pt>
                <c:pt idx="2">
                  <c:v>81</c:v>
                </c:pt>
                <c:pt idx="3">
                  <c:v>62</c:v>
                </c:pt>
                <c:pt idx="4">
                  <c:v>117</c:v>
                </c:pt>
                <c:pt idx="5">
                  <c:v>176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344810"/>
        <c:axId val="992431607"/>
      </c:barChart>
      <c:lineChart>
        <c:grouping val="standard"/>
        <c:varyColors val="0"/>
        <c:ser>
          <c:idx val="1"/>
          <c:order val="1"/>
          <c:tx>
            <c:strRef>
              <c:f>pivot_tables!$C$15</c:f>
              <c:strCache>
                <c:ptCount val="1"/>
                <c:pt idx="0">
                  <c:v>Quantity Sold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pivot_tables!$A$16:$A$22</c:f>
              <c:strCache>
                <c:ptCount val="6"/>
                <c:pt idx="0">
                  <c:v>Cough Syrup</c:v>
                </c:pt>
                <c:pt idx="1">
                  <c:v>Eggs</c:v>
                </c:pt>
                <c:pt idx="2">
                  <c:v>Mangoes</c:v>
                </c:pt>
                <c:pt idx="3">
                  <c:v>Sugar</c:v>
                </c:pt>
                <c:pt idx="4">
                  <c:v>Toilet Cleaner</c:v>
                </c:pt>
                <c:pt idx="5">
                  <c:v>Vitamins</c:v>
                </c:pt>
              </c:strCache>
            </c:strRef>
          </c:cat>
          <c:val>
            <c:numRef>
              <c:f>pivot_tables!$C$16:$C$22</c:f>
              <c:numCache>
                <c:formatCode>General</c:formatCode>
                <c:ptCount val="6"/>
                <c:pt idx="0">
                  <c:v>28</c:v>
                </c:pt>
                <c:pt idx="1">
                  <c:v>22</c:v>
                </c:pt>
                <c:pt idx="2">
                  <c:v>34</c:v>
                </c:pt>
                <c:pt idx="3">
                  <c:v>23</c:v>
                </c:pt>
                <c:pt idx="4">
                  <c:v>25</c:v>
                </c:pt>
                <c:pt idx="5">
                  <c:v>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4344810"/>
        <c:axId val="992431607"/>
      </c:lineChart>
      <c:lineChart>
        <c:grouping val="standard"/>
        <c:varyColors val="0"/>
        <c:ser>
          <c:idx val="2"/>
          <c:order val="2"/>
          <c:tx>
            <c:strRef>
              <c:f>pivot_tables!$D$15</c:f>
              <c:strCache>
                <c:ptCount val="1"/>
                <c:pt idx="0">
                  <c:v>Shell Life (days)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pivot_tables!$A$16:$A$22</c:f>
              <c:strCache>
                <c:ptCount val="6"/>
                <c:pt idx="0">
                  <c:v>Cough Syrup</c:v>
                </c:pt>
                <c:pt idx="1">
                  <c:v>Eggs</c:v>
                </c:pt>
                <c:pt idx="2">
                  <c:v>Mangoes</c:v>
                </c:pt>
                <c:pt idx="3">
                  <c:v>Sugar</c:v>
                </c:pt>
                <c:pt idx="4">
                  <c:v>Toilet Cleaner</c:v>
                </c:pt>
                <c:pt idx="5">
                  <c:v>Vitamins</c:v>
                </c:pt>
              </c:strCache>
            </c:strRef>
          </c:cat>
          <c:val>
            <c:numRef>
              <c:f>pivot_tables!$D$16:$D$22</c:f>
              <c:numCache>
                <c:formatCode>General</c:formatCode>
                <c:ptCount val="6"/>
                <c:pt idx="0">
                  <c:v>365</c:v>
                </c:pt>
                <c:pt idx="1">
                  <c:v>7</c:v>
                </c:pt>
                <c:pt idx="2">
                  <c:v>3</c:v>
                </c:pt>
                <c:pt idx="3">
                  <c:v>365</c:v>
                </c:pt>
                <c:pt idx="4">
                  <c:v>365</c:v>
                </c:pt>
                <c:pt idx="5">
                  <c:v>365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1293283"/>
        <c:axId val="757713563"/>
      </c:lineChart>
      <c:catAx>
        <c:axId val="3434481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  <c:crossAx val="992431607"/>
        <c:crosses val="autoZero"/>
        <c:auto val="1"/>
        <c:lblAlgn val="ctr"/>
        <c:lblOffset val="100"/>
        <c:noMultiLvlLbl val="0"/>
      </c:catAx>
      <c:valAx>
        <c:axId val="992431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DengXian" panose="02010600030101010101" charset="-122"/>
                    <a:ea typeface="DengXian" panose="02010600030101010101" charset="-122"/>
                  </a:rPr>
                  <a:t>Quantity Sellable</a:t>
                </a:r>
                <a:endParaRPr b="1">
                  <a:solidFill>
                    <a:schemeClr val="tx1">
                      <a:lumMod val="85000"/>
                      <a:lumOff val="15000"/>
                    </a:schemeClr>
                  </a:solidFill>
                  <a:latin typeface="DengXian" panose="02010600030101010101" charset="-122"/>
                  <a:ea typeface="DengXian" panose="02010600030101010101" charset="-122"/>
                </a:endParaRPr>
              </a:p>
            </c:rich>
          </c:tx>
          <c:layout>
            <c:manualLayout>
              <c:xMode val="edge"/>
              <c:yMode val="edge"/>
              <c:x val="0.00726672171758877"/>
              <c:y val="0.35589187131163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  <c:crossAx val="34344810"/>
        <c:crosses val="autoZero"/>
        <c:crossBetween val="between"/>
      </c:valAx>
      <c:catAx>
        <c:axId val="81293283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7713563"/>
        <c:crosses val="autoZero"/>
        <c:auto val="1"/>
        <c:lblAlgn val="ctr"/>
        <c:lblOffset val="100"/>
        <c:noMultiLvlLbl val="0"/>
      </c:catAx>
      <c:valAx>
        <c:axId val="757713563"/>
        <c:scaling>
          <c:orientation val="minMax"/>
        </c:scaling>
        <c:delete val="0"/>
        <c:axPos val="r"/>
        <c:title>
          <c:tx>
            <c:rich>
              <a:bodyPr rot="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DengXian" panose="02010600030101010101" charset="-122"/>
                    <a:ea typeface="DengXian" panose="02010600030101010101" charset="-122"/>
                  </a:rPr>
                  <a:t>Shell Life (days)</a:t>
                </a:r>
                <a:endParaRPr b="1">
                  <a:solidFill>
                    <a:schemeClr val="tx1">
                      <a:lumMod val="85000"/>
                      <a:lumOff val="15000"/>
                    </a:schemeClr>
                  </a:solidFill>
                  <a:latin typeface="DengXian" panose="02010600030101010101" charset="-122"/>
                  <a:ea typeface="DengXian" panose="02010600030101010101" charset="-122"/>
                </a:endParaRPr>
              </a:p>
            </c:rich>
          </c:tx>
          <c:layout>
            <c:manualLayout>
              <c:xMode val="edge"/>
              <c:yMode val="edge"/>
              <c:x val="0.785466556564822"/>
              <c:y val="0.33656957928802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  <c:crossAx val="81293283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</c:legendEntry>
      <c:layout>
        <c:manualLayout>
          <c:xMode val="edge"/>
          <c:yMode val="edge"/>
          <c:x val="0.799339388934765"/>
          <c:y val="0.7911669522177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DengXian" panose="02010600030101010101" charset="-122"/>
              <a:ea typeface="DengXian" panose="02010600030101010101" charset="-122"/>
              <a:cs typeface="DengXian" panose="02010600030101010101" charset="-122"/>
              <a:sym typeface="DengXian" panose="02010600030101010101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4795a19-9cc1-4534-b3ac-6eeaf24600d0}"/>
      </c:ext>
    </c:extLst>
  </c:chart>
  <c:spPr>
    <a:solidFill>
      <a:srgbClr val="D9EAFF"/>
    </a:solidFill>
    <a:ln w="9525" cap="flat" cmpd="sng" algn="ctr">
      <a:noFill/>
      <a:round/>
    </a:ln>
    <a:effectLst/>
  </c:spPr>
  <c:txPr>
    <a:bodyPr/>
    <a:lstStyle/>
    <a:p>
      <a:pPr>
        <a:defRPr lang="en-US">
          <a:solidFill>
            <a:schemeClr val="tx1">
              <a:lumMod val="85000"/>
              <a:lumOff val="15000"/>
            </a:schemeClr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916940</xdr:colOff>
      <xdr:row>6</xdr:row>
      <xdr:rowOff>160020</xdr:rowOff>
    </xdr:from>
    <xdr:to>
      <xdr:col>6</xdr:col>
      <xdr:colOff>683260</xdr:colOff>
      <xdr:row>21</xdr:row>
      <xdr:rowOff>160020</xdr:rowOff>
    </xdr:to>
    <xdr:graphicFrame>
      <xdr:nvGraphicFramePr>
        <xdr:cNvPr id="6" name="Chart 5"/>
        <xdr:cNvGraphicFramePr/>
      </xdr:nvGraphicFramePr>
      <xdr:xfrm>
        <a:off x="3111500" y="1257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129540</xdr:colOff>
      <xdr:row>6</xdr:row>
      <xdr:rowOff>76200</xdr:rowOff>
    </xdr:from>
    <xdr:to>
      <xdr:col>14</xdr:col>
      <xdr:colOff>92710</xdr:colOff>
      <xdr:row>26</xdr:row>
      <xdr:rowOff>29210</xdr:rowOff>
    </xdr:to>
    <xdr:graphicFrame>
      <xdr:nvGraphicFramePr>
        <xdr:cNvPr id="2" name="Chart 1"/>
        <xdr:cNvGraphicFramePr/>
      </xdr:nvGraphicFramePr>
      <xdr:xfrm>
        <a:off x="129540" y="1173480"/>
        <a:ext cx="8497570" cy="3610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154940</xdr:colOff>
      <xdr:row>5</xdr:row>
      <xdr:rowOff>180340</xdr:rowOff>
    </xdr:from>
    <xdr:to>
      <xdr:col>18</xdr:col>
      <xdr:colOff>9525</xdr:colOff>
      <xdr:row>25</xdr:row>
      <xdr:rowOff>48260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customer_seg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89340" y="1094740"/>
              <a:ext cx="2292985" cy="3525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170180</xdr:colOff>
      <xdr:row>25</xdr:row>
      <xdr:rowOff>8255</xdr:rowOff>
    </xdr:from>
    <xdr:to>
      <xdr:col>18</xdr:col>
      <xdr:colOff>17780</xdr:colOff>
      <xdr:row>36</xdr:row>
      <xdr:rowOff>142240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product_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_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04580" y="4580255"/>
              <a:ext cx="2286000" cy="21456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321310</xdr:colOff>
      <xdr:row>26</xdr:row>
      <xdr:rowOff>152400</xdr:rowOff>
    </xdr:from>
    <xdr:to>
      <xdr:col>13</xdr:col>
      <xdr:colOff>360045</xdr:colOff>
      <xdr:row>45</xdr:row>
      <xdr:rowOff>20955</xdr:rowOff>
    </xdr:to>
    <xdr:graphicFrame>
      <xdr:nvGraphicFramePr>
        <xdr:cNvPr id="6" name="Chart 5"/>
        <xdr:cNvGraphicFramePr/>
      </xdr:nvGraphicFramePr>
      <xdr:xfrm>
        <a:off x="321310" y="4907280"/>
        <a:ext cx="7963535" cy="3343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185420</xdr:colOff>
      <xdr:row>36</xdr:row>
      <xdr:rowOff>129540</xdr:rowOff>
    </xdr:from>
    <xdr:to>
      <xdr:col>18</xdr:col>
      <xdr:colOff>17145</xdr:colOff>
      <xdr:row>45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shell_life_day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hell_life_day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19820" y="6713220"/>
              <a:ext cx="2270125" cy="16973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89.7157986111" refreshedBy="josep" recordCount="6">
  <cacheSource type="worksheet">
    <worksheetSource ref="A1:E7" sheet="product_profit"/>
  </cacheSource>
  <cacheFields count="5">
    <cacheField name="product_id" numFmtId="0">
      <sharedItems containsSemiMixedTypes="0" containsString="0" containsNumber="1" containsInteger="1" minValue="0" maxValue="604184" count="6">
        <n v="604184"/>
        <n v="337168"/>
        <n v="123983"/>
        <n v="114414"/>
        <n v="34186"/>
        <n v="487931"/>
      </sharedItems>
    </cacheField>
    <cacheField name="product_name" numFmtId="0">
      <sharedItems count="6">
        <s v="Toilet Cleaner"/>
        <s v="Eggs"/>
        <s v="Cough Syrup"/>
        <s v="Vitamins"/>
        <s v="Mangoes"/>
        <s v="Sugar"/>
      </sharedItems>
    </cacheField>
    <cacheField name="brand" numFmtId="0">
      <sharedItems count="6">
        <s v="Gaba, Sodhi and Choudhary"/>
        <s v="Dasgupta PLC"/>
        <s v="Kurian-Chhabra"/>
        <s v="Kara-Golla"/>
        <s v="Mandal-Kar"/>
        <s v="Bahl, Jaggi and Nath"/>
      </sharedItems>
    </cacheField>
    <cacheField name="customer_segment" numFmtId="0">
      <sharedItems count="2">
        <s v="Premium"/>
        <s v="Regular"/>
      </sharedItems>
    </cacheField>
    <cacheField name="total_profit" numFmtId="0">
      <sharedItems containsSemiMixedTypes="0" containsString="0" containsNumber="1" minValue="0" maxValue="28969.83" count="6">
        <n v="28532.98"/>
        <n v="24743.03"/>
        <n v="23337.49"/>
        <n v="28969.83"/>
        <n v="27265.96"/>
        <n v="26053.82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89.7162268519" refreshedBy="josep" recordCount="6">
  <cacheSource type="worksheet">
    <worksheetSource ref="A1:H7" sheet="stock_info"/>
  </cacheSource>
  <cacheFields count="8">
    <cacheField name="product_id" numFmtId="0">
      <sharedItems containsSemiMixedTypes="0" containsString="0" containsNumber="1" containsInteger="1" minValue="0" maxValue="604184" count="6">
        <n v="34186"/>
        <n v="114414"/>
        <n v="123983"/>
        <n v="337168"/>
        <n v="487931"/>
        <n v="604184"/>
      </sharedItems>
    </cacheField>
    <cacheField name="product_name" numFmtId="0">
      <sharedItems count="6">
        <s v="Mangoes"/>
        <s v="Vitamins"/>
        <s v="Cough Syrup"/>
        <s v="Eggs"/>
        <s v="Sugar"/>
        <s v="Toilet Cleaner"/>
      </sharedItems>
    </cacheField>
    <cacheField name="brand" numFmtId="0">
      <sharedItems count="6">
        <s v="Mandal-Kar"/>
        <s v="Kara-Golla"/>
        <s v="Kurian-Chhabra"/>
        <s v="Dasgupta PLC"/>
        <s v="Bahl, Jaggi and Nath"/>
        <s v="Gaba, Sodhi and Choudhary"/>
      </sharedItems>
    </cacheField>
    <cacheField name="received_no" numFmtId="0">
      <sharedItems containsSemiMixedTypes="0" containsString="0" containsNumber="1" containsInteger="1" minValue="0" maxValue="395" count="6">
        <n v="239"/>
        <n v="358"/>
        <n v="395"/>
        <n v="217"/>
        <n v="234"/>
        <n v="285"/>
      </sharedItems>
    </cacheField>
    <cacheField name="faulty_no" numFmtId="0">
      <sharedItems containsSemiMixedTypes="0" containsString="0" containsNumber="1" containsInteger="1" minValue="0" maxValue="182" count="6">
        <n v="158"/>
        <n v="182"/>
        <n v="146"/>
        <n v="166"/>
        <n v="172"/>
        <n v="168"/>
      </sharedItems>
    </cacheField>
    <cacheField name="qty_sellable" numFmtId="0">
      <sharedItems containsSemiMixedTypes="0" containsString="0" containsNumber="1" containsInteger="1" minValue="0" maxValue="249" count="6">
        <n v="81"/>
        <n v="176"/>
        <n v="249"/>
        <n v="51"/>
        <n v="62"/>
        <n v="117"/>
      </sharedItems>
    </cacheField>
    <cacheField name="qty_sold" numFmtId="0">
      <sharedItems containsSemiMixedTypes="0" containsString="0" containsNumber="1" containsInteger="1" minValue="0" maxValue="34" count="6">
        <n v="34"/>
        <n v="17"/>
        <n v="28"/>
        <n v="22"/>
        <n v="23"/>
        <n v="25"/>
      </sharedItems>
    </cacheField>
    <cacheField name="shell_life_days" numFmtId="0">
      <sharedItems containsSemiMixedTypes="0" containsString="0" containsNumber="1" containsInteger="1" minValue="0" maxValue="365" count="3">
        <n v="3"/>
        <n v="365"/>
        <n v="7"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x v="0"/>
    <x v="0"/>
    <x v="0"/>
    <x v="0"/>
  </r>
  <r>
    <x v="1"/>
    <x v="1"/>
    <x v="1"/>
    <x v="0"/>
    <x v="1"/>
  </r>
  <r>
    <x v="2"/>
    <x v="2"/>
    <x v="2"/>
    <x v="0"/>
    <x v="2"/>
  </r>
  <r>
    <x v="3"/>
    <x v="3"/>
    <x v="3"/>
    <x v="1"/>
    <x v="3"/>
  </r>
  <r>
    <x v="4"/>
    <x v="4"/>
    <x v="4"/>
    <x v="1"/>
    <x v="4"/>
  </r>
  <r>
    <x v="5"/>
    <x v="5"/>
    <x v="5"/>
    <x v="1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">
  <r>
    <x v="0"/>
    <x v="0"/>
    <x v="0"/>
    <x v="0"/>
    <x v="0"/>
    <x v="0"/>
    <x v="0"/>
    <x v="0"/>
  </r>
  <r>
    <x v="1"/>
    <x v="1"/>
    <x v="1"/>
    <x v="1"/>
    <x v="1"/>
    <x v="1"/>
    <x v="1"/>
    <x v="1"/>
  </r>
  <r>
    <x v="2"/>
    <x v="2"/>
    <x v="2"/>
    <x v="2"/>
    <x v="2"/>
    <x v="2"/>
    <x v="2"/>
    <x v="1"/>
  </r>
  <r>
    <x v="3"/>
    <x v="3"/>
    <x v="3"/>
    <x v="3"/>
    <x v="3"/>
    <x v="3"/>
    <x v="3"/>
    <x v="2"/>
  </r>
  <r>
    <x v="4"/>
    <x v="4"/>
    <x v="4"/>
    <x v="4"/>
    <x v="4"/>
    <x v="4"/>
    <x v="4"/>
    <x v="1"/>
  </r>
  <r>
    <x v="5"/>
    <x v="5"/>
    <x v="5"/>
    <x v="5"/>
    <x v="5"/>
    <x v="5"/>
    <x v="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0" firstHeaderRow="1" firstDataRow="1" firstDataCol="1" rowPageCount="1" colPageCount="1"/>
  <pivotFields count="5">
    <pivotField compact="0" showAll="0">
      <items count="7">
        <item x="4"/>
        <item x="3"/>
        <item x="2"/>
        <item x="1"/>
        <item x="5"/>
        <item x="0"/>
        <item t="default"/>
      </items>
    </pivotField>
    <pivotField axis="axisRow" name="product name" compact="0" showAll="0">
      <items count="7">
        <item x="2"/>
        <item x="1"/>
        <item x="4"/>
        <item x="5"/>
        <item x="0"/>
        <item x="3"/>
        <item t="default"/>
      </items>
    </pivotField>
    <pivotField compact="0" showAll="0">
      <items count="7">
        <item x="5"/>
        <item x="1"/>
        <item x="0"/>
        <item x="3"/>
        <item x="2"/>
        <item x="4"/>
        <item t="default"/>
      </items>
    </pivotField>
    <pivotField axis="axisPage" name="category" compact="0" showAll="0">
      <items count="3">
        <item x="0"/>
        <item x="1"/>
        <item t="default"/>
      </items>
    </pivotField>
    <pivotField dataField="1" compact="0" showAll="0">
      <items count="7">
        <item x="2"/>
        <item x="1"/>
        <item x="5"/>
        <item x="4"/>
        <item x="0"/>
        <item x="3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3"/>
  </pageFields>
  <dataFields count="1">
    <dataField name="Total Profit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2">
  <location ref="A15:D22" firstHeaderRow="0" firstDataRow="1" firstDataCol="1"/>
  <pivotFields count="8">
    <pivotField compact="0" showAll="0">
      <items count="7">
        <item x="0"/>
        <item x="1"/>
        <item x="2"/>
        <item x="3"/>
        <item x="4"/>
        <item x="5"/>
        <item t="default"/>
      </items>
    </pivotField>
    <pivotField axis="axisRow" name="product name" compact="0" showAll="0">
      <items count="7">
        <item x="2"/>
        <item x="3"/>
        <item x="0"/>
        <item x="4"/>
        <item x="5"/>
        <item x="1"/>
        <item t="default"/>
      </items>
    </pivotField>
    <pivotField compact="0" showAll="0">
      <items count="7">
        <item x="4"/>
        <item x="3"/>
        <item x="5"/>
        <item x="1"/>
        <item x="2"/>
        <item x="0"/>
        <item t="default"/>
      </items>
    </pivotField>
    <pivotField compact="0" showAll="0">
      <items count="7">
        <item x="3"/>
        <item x="4"/>
        <item x="0"/>
        <item x="5"/>
        <item x="1"/>
        <item x="2"/>
        <item t="default"/>
      </items>
    </pivotField>
    <pivotField compact="0" showAll="0">
      <items count="7">
        <item x="2"/>
        <item x="0"/>
        <item x="3"/>
        <item x="5"/>
        <item x="4"/>
        <item x="1"/>
        <item t="default"/>
      </items>
    </pivotField>
    <pivotField dataField="1" compact="0" showAll="0">
      <items count="7">
        <item x="3"/>
        <item x="4"/>
        <item x="0"/>
        <item x="5"/>
        <item x="1"/>
        <item x="2"/>
        <item t="default"/>
      </items>
    </pivotField>
    <pivotField dataField="1" compact="0" showAll="0">
      <items count="7">
        <item x="1"/>
        <item x="3"/>
        <item x="4"/>
        <item x="5"/>
        <item x="2"/>
        <item x="0"/>
        <item t="default"/>
      </items>
    </pivotField>
    <pivotField dataField="1" compact="0" showAll="0">
      <items count="4">
        <item x="0"/>
        <item x="2"/>
        <item x="1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Quantity Sellable" fld="5" baseField="0" baseItem="0"/>
    <dataField name="Quantity Sold" fld="6" baseField="0" baseItem="0"/>
    <dataField name="Shell Life (days)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hell_life_days" sourceName="shell_life_days">
  <pivotTables>
    <pivotTable tabId="3" name="PivotTable2"/>
  </pivotTables>
  <data>
    <tabular pivotCacheId="2">
      <items count="3">
        <i x="0" s="1"/>
        <i x="2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_name" sourceName="product_name">
  <pivotTables>
    <pivotTable tabId="3" name="PivotTable2"/>
  </pivotTables>
  <data>
    <tabular pivotCacheId="2">
      <items count="6">
        <i x="2" s="1"/>
        <i x="3" s="1"/>
        <i x="0" s="1"/>
        <i x="4" s="1"/>
        <i x="5" s="1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stomer_segment" sourceName="customer_segment">
  <pivotTables>
    <pivotTable tabId="3" name="PivotTable1"/>
  </pivotTables>
  <data>
    <tabular pivotCacheId="1">
      <items count="2"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ustomer_segment" cache="Slicer_customer_segment" caption="customer_segment" style="Slicer Style 1" rowHeight="225425"/>
  <slicer name="product_name" cache="Slicer_product_name" caption="product_name" style="Slicer Style 1" rowHeight="225425"/>
  <slicer name="shell_life_days" cache="Slicer_shell_life_days" caption="shell_life_days" style="Slicer Style 1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D9" sqref="D9"/>
    </sheetView>
  </sheetViews>
  <sheetFormatPr defaultColWidth="8.88888888888889" defaultRowHeight="14.4" outlineLevelRow="6" outlineLevelCol="4"/>
  <cols>
    <col min="1" max="1" width="16.7777777777778" customWidth="1"/>
    <col min="2" max="2" width="19.4444444444444" customWidth="1"/>
    <col min="3" max="3" width="28" customWidth="1"/>
    <col min="4" max="4" width="22.3333333333333" customWidth="1"/>
    <col min="5" max="5" width="17.8888888888889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>
        <v>604184</v>
      </c>
      <c r="B2" t="s">
        <v>5</v>
      </c>
      <c r="C2" t="s">
        <v>6</v>
      </c>
      <c r="D2" t="s">
        <v>7</v>
      </c>
      <c r="E2">
        <v>28532.98</v>
      </c>
    </row>
    <row r="3" spans="1:5">
      <c r="A3">
        <v>337168</v>
      </c>
      <c r="B3" t="s">
        <v>8</v>
      </c>
      <c r="C3" t="s">
        <v>9</v>
      </c>
      <c r="D3" t="s">
        <v>7</v>
      </c>
      <c r="E3">
        <v>24743.03</v>
      </c>
    </row>
    <row r="4" spans="1:5">
      <c r="A4">
        <v>123983</v>
      </c>
      <c r="B4" t="s">
        <v>10</v>
      </c>
      <c r="C4" t="s">
        <v>11</v>
      </c>
      <c r="D4" t="s">
        <v>7</v>
      </c>
      <c r="E4">
        <v>23337.49</v>
      </c>
    </row>
    <row r="5" spans="1:5">
      <c r="A5">
        <v>114414</v>
      </c>
      <c r="B5" t="s">
        <v>12</v>
      </c>
      <c r="C5" t="s">
        <v>13</v>
      </c>
      <c r="D5" t="s">
        <v>14</v>
      </c>
      <c r="E5">
        <v>28969.83</v>
      </c>
    </row>
    <row r="6" spans="1:5">
      <c r="A6">
        <v>34186</v>
      </c>
      <c r="B6" t="s">
        <v>15</v>
      </c>
      <c r="C6" t="s">
        <v>16</v>
      </c>
      <c r="D6" t="s">
        <v>14</v>
      </c>
      <c r="E6">
        <v>27265.96</v>
      </c>
    </row>
    <row r="7" spans="1:5">
      <c r="A7">
        <v>487931</v>
      </c>
      <c r="B7" t="s">
        <v>17</v>
      </c>
      <c r="C7" t="s">
        <v>18</v>
      </c>
      <c r="D7" t="s">
        <v>14</v>
      </c>
      <c r="E7">
        <v>26053.82</v>
      </c>
    </row>
  </sheetData>
  <autoFilter xmlns:etc="http://www.wps.cn/officeDocument/2017/etCustomData" ref="A1:E7" etc:filterBottomFollowUsedRange="0">
    <extLst/>
  </autoFilter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H2" sqref="H2"/>
    </sheetView>
  </sheetViews>
  <sheetFormatPr defaultColWidth="8.88888888888889" defaultRowHeight="14.4" outlineLevelRow="6" outlineLevelCol="7"/>
  <cols>
    <col min="1" max="1" width="14.7777777777778" customWidth="1"/>
    <col min="2" max="2" width="19" customWidth="1"/>
    <col min="3" max="3" width="24.6666666666667" customWidth="1"/>
    <col min="4" max="4" width="18" customWidth="1"/>
    <col min="5" max="5" width="14.2222222222222" customWidth="1"/>
    <col min="6" max="6" width="13.8888888888889" customWidth="1"/>
    <col min="7" max="7" width="14.4444444444444" customWidth="1"/>
    <col min="8" max="8" width="17.1111111111111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</row>
    <row r="2" spans="1:8">
      <c r="A2">
        <v>34186</v>
      </c>
      <c r="B2" t="s">
        <v>15</v>
      </c>
      <c r="C2" t="s">
        <v>16</v>
      </c>
      <c r="D2">
        <v>239</v>
      </c>
      <c r="E2">
        <v>158</v>
      </c>
      <c r="F2">
        <v>81</v>
      </c>
      <c r="G2">
        <v>34</v>
      </c>
      <c r="H2">
        <v>3</v>
      </c>
    </row>
    <row r="3" spans="1:8">
      <c r="A3">
        <v>114414</v>
      </c>
      <c r="B3" t="s">
        <v>12</v>
      </c>
      <c r="C3" t="s">
        <v>13</v>
      </c>
      <c r="D3">
        <v>358</v>
      </c>
      <c r="E3">
        <v>182</v>
      </c>
      <c r="F3">
        <v>176</v>
      </c>
      <c r="G3">
        <v>17</v>
      </c>
      <c r="H3">
        <v>365</v>
      </c>
    </row>
    <row r="4" spans="1:8">
      <c r="A4">
        <v>123983</v>
      </c>
      <c r="B4" t="s">
        <v>10</v>
      </c>
      <c r="C4" t="s">
        <v>11</v>
      </c>
      <c r="D4">
        <v>395</v>
      </c>
      <c r="E4">
        <v>146</v>
      </c>
      <c r="F4">
        <v>249</v>
      </c>
      <c r="G4">
        <v>28</v>
      </c>
      <c r="H4">
        <v>365</v>
      </c>
    </row>
    <row r="5" spans="1:8">
      <c r="A5">
        <v>337168</v>
      </c>
      <c r="B5" t="s">
        <v>8</v>
      </c>
      <c r="C5" t="s">
        <v>9</v>
      </c>
      <c r="D5">
        <v>217</v>
      </c>
      <c r="E5">
        <v>166</v>
      </c>
      <c r="F5">
        <v>51</v>
      </c>
      <c r="G5">
        <v>22</v>
      </c>
      <c r="H5">
        <v>7</v>
      </c>
    </row>
    <row r="6" spans="1:8">
      <c r="A6">
        <v>487931</v>
      </c>
      <c r="B6" t="s">
        <v>17</v>
      </c>
      <c r="C6" t="s">
        <v>18</v>
      </c>
      <c r="D6">
        <v>234</v>
      </c>
      <c r="E6">
        <v>172</v>
      </c>
      <c r="F6">
        <v>62</v>
      </c>
      <c r="G6">
        <v>23</v>
      </c>
      <c r="H6">
        <v>365</v>
      </c>
    </row>
    <row r="7" spans="1:8">
      <c r="A7">
        <v>604184</v>
      </c>
      <c r="B7" t="s">
        <v>5</v>
      </c>
      <c r="C7" t="s">
        <v>6</v>
      </c>
      <c r="D7">
        <v>285</v>
      </c>
      <c r="E7">
        <v>168</v>
      </c>
      <c r="F7">
        <v>117</v>
      </c>
      <c r="G7">
        <v>25</v>
      </c>
      <c r="H7">
        <v>365</v>
      </c>
    </row>
  </sheetData>
  <autoFilter xmlns:etc="http://www.wps.cn/officeDocument/2017/etCustomData" ref="A1:H7" etc:filterBottomFollowUsedRange="0">
    <extLst/>
  </autoFilter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A15" sqref="A15:D22"/>
      <pivotSelection pane="bottomRight" showHeader="1" extendable="1" r:id="rId2">
        <pivotArea type="all" dataOnly="0" outline="0" fieldPosition="0"/>
      </pivotSelection>
    </sheetView>
  </sheetViews>
  <sheetFormatPr defaultColWidth="8.88888888888889" defaultRowHeight="14.4" outlineLevelCol="3"/>
  <cols>
    <col min="1" max="4" width="16"/>
    <col min="5" max="6" width="20.8888888888889"/>
    <col min="7" max="7" width="25.6666666666667"/>
    <col min="8" max="8" width="11.4444444444444"/>
  </cols>
  <sheetData>
    <row r="1" spans="1:2">
      <c r="A1" t="s">
        <v>24</v>
      </c>
      <c r="B1" t="s">
        <v>25</v>
      </c>
    </row>
    <row r="3" spans="1:2">
      <c r="A3" t="s">
        <v>26</v>
      </c>
      <c r="B3" t="s">
        <v>27</v>
      </c>
    </row>
    <row r="4" spans="1:2">
      <c r="A4" t="s">
        <v>10</v>
      </c>
      <c r="B4">
        <v>23337.49</v>
      </c>
    </row>
    <row r="5" spans="1:2">
      <c r="A5" t="s">
        <v>8</v>
      </c>
      <c r="B5">
        <v>24743.03</v>
      </c>
    </row>
    <row r="6" spans="1:2">
      <c r="A6" t="s">
        <v>15</v>
      </c>
      <c r="B6">
        <v>27265.96</v>
      </c>
    </row>
    <row r="7" spans="1:2">
      <c r="A7" t="s">
        <v>17</v>
      </c>
      <c r="B7">
        <v>26053.82</v>
      </c>
    </row>
    <row r="8" spans="1:2">
      <c r="A8" t="s">
        <v>5</v>
      </c>
      <c r="B8">
        <v>28532.98</v>
      </c>
    </row>
    <row r="9" spans="1:2">
      <c r="A9" t="s">
        <v>12</v>
      </c>
      <c r="B9">
        <v>28969.83</v>
      </c>
    </row>
    <row r="10" spans="1:2">
      <c r="A10" t="s">
        <v>28</v>
      </c>
      <c r="B10">
        <v>158903.11</v>
      </c>
    </row>
    <row r="15" spans="1:4">
      <c r="A15" t="s">
        <v>26</v>
      </c>
      <c r="B15" t="s">
        <v>29</v>
      </c>
      <c r="C15" t="s">
        <v>30</v>
      </c>
      <c r="D15" t="s">
        <v>31</v>
      </c>
    </row>
    <row r="16" spans="1:4">
      <c r="A16" t="s">
        <v>10</v>
      </c>
      <c r="B16">
        <v>249</v>
      </c>
      <c r="C16">
        <v>28</v>
      </c>
      <c r="D16">
        <v>365</v>
      </c>
    </row>
    <row r="17" spans="1:4">
      <c r="A17" t="s">
        <v>8</v>
      </c>
      <c r="B17">
        <v>51</v>
      </c>
      <c r="C17">
        <v>22</v>
      </c>
      <c r="D17">
        <v>7</v>
      </c>
    </row>
    <row r="18" spans="1:4">
      <c r="A18" t="s">
        <v>15</v>
      </c>
      <c r="B18">
        <v>81</v>
      </c>
      <c r="C18">
        <v>34</v>
      </c>
      <c r="D18">
        <v>3</v>
      </c>
    </row>
    <row r="19" spans="1:4">
      <c r="A19" t="s">
        <v>17</v>
      </c>
      <c r="B19">
        <v>62</v>
      </c>
      <c r="C19">
        <v>23</v>
      </c>
      <c r="D19">
        <v>365</v>
      </c>
    </row>
    <row r="20" spans="1:4">
      <c r="A20" t="s">
        <v>5</v>
      </c>
      <c r="B20">
        <v>117</v>
      </c>
      <c r="C20">
        <v>25</v>
      </c>
      <c r="D20">
        <v>365</v>
      </c>
    </row>
    <row r="21" spans="1:4">
      <c r="A21" t="s">
        <v>12</v>
      </c>
      <c r="B21">
        <v>176</v>
      </c>
      <c r="C21">
        <v>17</v>
      </c>
      <c r="D21">
        <v>365</v>
      </c>
    </row>
    <row r="22" spans="1:4">
      <c r="A22" t="s">
        <v>28</v>
      </c>
      <c r="B22">
        <v>736</v>
      </c>
      <c r="C22">
        <v>149</v>
      </c>
      <c r="D22">
        <v>1470</v>
      </c>
    </row>
  </sheetData>
  <pageMargins left="0.75" right="0.75" top="1" bottom="1" header="0.5" footer="0.5"/>
  <pageSetup paperSize="1" orientation="portrait"/>
  <headerFooter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46"/>
  <sheetViews>
    <sheetView showGridLines="0" tabSelected="1" topLeftCell="A7" workbookViewId="0">
      <selection activeCell="S50" sqref="S50"/>
    </sheetView>
  </sheetViews>
  <sheetFormatPr defaultColWidth="8.88888888888889" defaultRowHeight="14.4"/>
  <sheetData>
    <row r="1" spans="1:18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</sheetData>
  <mergeCells count="1">
    <mergeCell ref="A1:R6"/>
  </mergeCells>
  <pageMargins left="0.751388888888889" right="0.751388888888889" top="1" bottom="1" header="0.5" footer="0.5"/>
  <pageSetup paperSize="1" scale="69" orientation="landscape" horizontalDpi="600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product_profit</vt:lpstr>
      <vt:lpstr>stock_info</vt:lpstr>
      <vt:lpstr>pivot_tables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</dc:creator>
  <cp:lastModifiedBy>Joseph Ling</cp:lastModifiedBy>
  <dcterms:created xsi:type="dcterms:W3CDTF">2025-11-28T09:08:00Z</dcterms:created>
  <dcterms:modified xsi:type="dcterms:W3CDTF">2025-11-28T12:29:49Z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27E6658210A84F34B23726D07FAC92D2_11</vt:lpwstr>
  </property>
  <property fmtid="{D5CDD505-2E9C-101B-9397-08002B2CF9AE}" pid="3" name="KSOProductBuildVer">
    <vt:lpwstr>1033-12.2.0.23155</vt:lpwstr>
  </property>
</Properties>
</file>