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product_sales" sheetId="1" r:id="rId1"/>
    <sheet name="category_sales" sheetId="2" r:id="rId2"/>
    <sheet name="growth_percent" sheetId="3" r:id="rId3"/>
    <sheet name="pivot_tables" sheetId="4" r:id="rId4"/>
    <sheet name="dashboard" sheetId="5" r:id="rId5"/>
  </sheets>
  <definedNames>
    <definedName name="_xlnm._FilterDatabase" localSheetId="0" hidden="1">product_sales!$A$1:$D$11</definedName>
    <definedName name="_xlnm._FilterDatabase" localSheetId="1" hidden="1">category_sales!$A$1:$D$4</definedName>
    <definedName name="_xlnm._FilterDatabase" localSheetId="2" hidden="1">growth_percent!$A$1:$E$11</definedName>
    <definedName name="Slicer_product_name">#N/A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<sst xmlns="http://schemas.openxmlformats.org/spreadsheetml/2006/main" count="90" uniqueCount="39">
  <si>
    <t>product_name</t>
  </si>
  <si>
    <t>total_sales_2023</t>
  </si>
  <si>
    <t>total_sales_2024</t>
  </si>
  <si>
    <t>growth_pct</t>
  </si>
  <si>
    <t>Pet Treats</t>
  </si>
  <si>
    <t>Vitamins</t>
  </si>
  <si>
    <t>Toilet Cleaner</t>
  </si>
  <si>
    <t>Dish Soap</t>
  </si>
  <si>
    <t>Bread</t>
  </si>
  <si>
    <t>Cough Syrup</t>
  </si>
  <si>
    <t>Baby Wipes</t>
  </si>
  <si>
    <t>Cat Food</t>
  </si>
  <si>
    <t>Lotion</t>
  </si>
  <si>
    <t>Eggs</t>
  </si>
  <si>
    <t>category</t>
  </si>
  <si>
    <t>Dairy &amp; Breakfast</t>
  </si>
  <si>
    <t>Pharmacy</t>
  </si>
  <si>
    <t>Pet Care</t>
  </si>
  <si>
    <t>growth</t>
  </si>
  <si>
    <t>growth_percentage</t>
  </si>
  <si>
    <t>Frozen Vegetables</t>
  </si>
  <si>
    <t>Salt</t>
  </si>
  <si>
    <t>Detergent</t>
  </si>
  <si>
    <t>Chocolates</t>
  </si>
  <si>
    <t>Curd</t>
  </si>
  <si>
    <t>Wheat Flour</t>
  </si>
  <si>
    <t>Carrots</t>
  </si>
  <si>
    <t>product name</t>
  </si>
  <si>
    <t>2023</t>
  </si>
  <si>
    <t>2024</t>
  </si>
  <si>
    <t>Grand Total</t>
  </si>
  <si>
    <t xml:space="preserve">2023 </t>
  </si>
  <si>
    <t>Sum of growth percentage</t>
  </si>
  <si>
    <t>Most Selling Product Types &amp; Product Categories in 2024, and Product Types with Most Growth From 2023 to 2024</t>
  </si>
  <si>
    <t>MOST SELLING PRODUCTS</t>
  </si>
  <si>
    <t>1st</t>
  </si>
  <si>
    <t>2nd</t>
  </si>
  <si>
    <t>3rd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</si>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</sst>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7">
    <font>
      <sz val="11"/>
      <color theme="1"/>
      <name val="Calibri"/>
      <charset val="134"/>
      <scheme val="minor"/>
    </font>
    <font>
      <sz val="24"/>
      <color theme="0"/>
      <name val="Bahnschrift Condensed"/>
      <charset val="134"/>
    </font>
    <font>
      <sz val="12"/>
      <color theme="1"/>
      <name val="Arial Black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Arial Black"/>
      <charset val="134"/>
    </font>
    <font>
      <b/>
      <sz val="12"/>
      <color theme="1"/>
      <name val="DengXian"/>
      <charset val="134"/>
    </font>
    <font>
      <b/>
      <sz val="11"/>
      <color theme="1"/>
      <name val="DengXi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20000"/>
        <bgColor indexed="64"/>
      </patternFill>
    </fill>
    <fill>
      <patternFill patternType="solid">
        <fgColor rgb="FFE5C5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2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7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Bahnschrift"/>
        <scheme val="none"/>
        <b val="1"/>
        <i val="0"/>
        <u val="none"/>
        <sz val="12"/>
        <color theme="0"/>
      </font>
      <fill>
        <patternFill patternType="solid">
          <bgColor rgb="FFE20000"/>
        </patternFill>
      </fill>
    </dxf>
    <dxf>
      <font>
        <name val="Bahnschrift"/>
        <scheme val="none"/>
        <b val="1"/>
        <i val="0"/>
        <u val="none"/>
        <sz val="12"/>
        <color auto="1"/>
      </font>
      <fill>
        <patternFill patternType="solid">
          <bgColor rgb="FFE5C5B9"/>
        </patternFill>
      </fill>
      <border>
        <left style="thick">
          <color rgb="FFE20000"/>
        </left>
        <right style="thick">
          <color rgb="FFE20000"/>
        </right>
        <top style="thick">
          <color rgb="FFE20000"/>
        </top>
        <bottom style="thick">
          <color rgb="FFE20000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Slicer Style 1" pivot="0" table="0" count="10" xr9:uid="{D7C3A676-5799-4357-9A21-0D9527BC644F}">
      <tableStyleElement type="wholeTable" dxfId="8"/>
      <tableStyleElement type="headerRow" dxfId="7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CC4E3F"/>
      <color rgb="00D2A798"/>
      <color rgb="00E20000"/>
      <color rgb="00C28A78"/>
      <color rgb="00C08674"/>
      <color rgb="00F2EA00"/>
      <color rgb="00E5C5B9"/>
      <color rgb="00780000"/>
      <color rgb="00A00000"/>
      <color rgb="00BE0000"/>
    </mruColors>
  </colors>
  <extLst>
    <ext xmlns:x14="http://schemas.microsoft.com/office/spreadsheetml/2009/9/main" uri="{46F421CA-312F-682f-3DD2-61675219B42D}">
      <x14:dxfs count="8">
        <dxf>
          <font>
            <name val="Bahnschrift"/>
            <scheme val="none"/>
            <b val="1"/>
            <i val="0"/>
            <u val="none"/>
            <sz val="10"/>
            <color theme="1"/>
          </font>
          <fill>
            <patternFill patternType="solid">
              <bgColor rgb="FFD2A798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theme="1"/>
          </font>
          <fill>
            <patternFill patternType="solid">
              <bgColor rgb="FFD2A798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theme="1"/>
          </font>
          <fill>
            <patternFill patternType="solid">
              <bgColor rgb="FFC28A78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theme="1"/>
          </font>
          <fill>
            <patternFill patternType="solid">
              <bgColor rgb="FFC08674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theme="0"/>
          </font>
          <fill>
            <patternFill patternType="solid">
              <bgColor rgb="FFE20000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theme="0"/>
          </font>
          <fill>
            <patternFill patternType="solid">
              <bgColor rgb="FFE20000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theme="1"/>
          </font>
          <fill>
            <patternFill patternType="solid">
              <bgColor rgb="FFD2A798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theme="1"/>
          </font>
          <fill>
            <patternFill patternType="solid">
              <bgColor rgb="FFD2A79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4.xml"/><Relationship Id="rId8" Type="http://schemas.openxmlformats.org/officeDocument/2006/relationships/pivotCacheDefinition" Target="pivotCache/pivotCacheDefinition3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[Case4.xlsx]pivot_tables!PivotTable6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sz="1400" b="1"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Top 10 Most Selling Products in 2024</a:t>
            </a:r>
            <a:endParaRPr sz="1400" b="1"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308093692022263"/>
          <c:y val="0.007117437722419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8506493506494"/>
          <c:y val="0.0786307405524487"/>
          <c:w val="0.805426716141002"/>
          <c:h val="0.8356888662938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pivot_tables!$A$3:$A$13</c:f>
              <c:strCache>
                <c:ptCount val="10"/>
                <c:pt idx="0">
                  <c:v>Baby Wipes</c:v>
                </c:pt>
                <c:pt idx="1">
                  <c:v>Bread</c:v>
                </c:pt>
                <c:pt idx="2">
                  <c:v>Cat Food</c:v>
                </c:pt>
                <c:pt idx="3">
                  <c:v>Cough Syrup</c:v>
                </c:pt>
                <c:pt idx="4">
                  <c:v>Dish Soap</c:v>
                </c:pt>
                <c:pt idx="5">
                  <c:v>Eggs</c:v>
                </c:pt>
                <c:pt idx="6">
                  <c:v>Lotion</c:v>
                </c:pt>
                <c:pt idx="7">
                  <c:v>Pet Treats</c:v>
                </c:pt>
                <c:pt idx="8">
                  <c:v>Toilet Cleaner</c:v>
                </c:pt>
                <c:pt idx="9">
                  <c:v>Vitamins</c:v>
                </c:pt>
              </c:strCache>
            </c:strRef>
          </c:cat>
          <c:val>
            <c:numRef>
              <c:f>pivot_tables!$B$3:$B$13</c:f>
              <c:numCache>
                <c:formatCode>General</c:formatCode>
                <c:ptCount val="10"/>
                <c:pt idx="0">
                  <c:v>75065.06</c:v>
                </c:pt>
                <c:pt idx="1">
                  <c:v>84624.73</c:v>
                </c:pt>
                <c:pt idx="2">
                  <c:v>91000.1</c:v>
                </c:pt>
                <c:pt idx="3">
                  <c:v>106435.49</c:v>
                </c:pt>
                <c:pt idx="4">
                  <c:v>78935.33</c:v>
                </c:pt>
                <c:pt idx="5">
                  <c:v>70025.29</c:v>
                </c:pt>
                <c:pt idx="6">
                  <c:v>68798.71</c:v>
                </c:pt>
                <c:pt idx="7">
                  <c:v>105226.7</c:v>
                </c:pt>
                <c:pt idx="8">
                  <c:v>82171.41</c:v>
                </c:pt>
                <c:pt idx="9">
                  <c:v>122690.17</c:v>
                </c:pt>
              </c:numCache>
            </c:numRef>
          </c:val>
        </c:ser>
        <c:ser>
          <c:idx val="1"/>
          <c:order val="1"/>
          <c:tx>
            <c:strRef>
              <c:f>pivot_tables!$C$2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pivot_tables!$A$3:$A$13</c:f>
              <c:strCache>
                <c:ptCount val="10"/>
                <c:pt idx="0">
                  <c:v>Baby Wipes</c:v>
                </c:pt>
                <c:pt idx="1">
                  <c:v>Bread</c:v>
                </c:pt>
                <c:pt idx="2">
                  <c:v>Cat Food</c:v>
                </c:pt>
                <c:pt idx="3">
                  <c:v>Cough Syrup</c:v>
                </c:pt>
                <c:pt idx="4">
                  <c:v>Dish Soap</c:v>
                </c:pt>
                <c:pt idx="5">
                  <c:v>Eggs</c:v>
                </c:pt>
                <c:pt idx="6">
                  <c:v>Lotion</c:v>
                </c:pt>
                <c:pt idx="7">
                  <c:v>Pet Treats</c:v>
                </c:pt>
                <c:pt idx="8">
                  <c:v>Toilet Cleaner</c:v>
                </c:pt>
                <c:pt idx="9">
                  <c:v>Vitamins</c:v>
                </c:pt>
              </c:strCache>
            </c:strRef>
          </c:cat>
          <c:val>
            <c:numRef>
              <c:f>pivot_tables!$C$3:$C$13</c:f>
              <c:numCache>
                <c:formatCode>General</c:formatCode>
                <c:ptCount val="10"/>
                <c:pt idx="0">
                  <c:v>83703.35</c:v>
                </c:pt>
                <c:pt idx="1">
                  <c:v>100226.37</c:v>
                </c:pt>
                <c:pt idx="2">
                  <c:v>75596.29</c:v>
                </c:pt>
                <c:pt idx="3">
                  <c:v>97134.49</c:v>
                </c:pt>
                <c:pt idx="4">
                  <c:v>105505.88</c:v>
                </c:pt>
                <c:pt idx="5">
                  <c:v>67371.54</c:v>
                </c:pt>
                <c:pt idx="6">
                  <c:v>67601.71</c:v>
                </c:pt>
                <c:pt idx="7">
                  <c:v>146780.67</c:v>
                </c:pt>
                <c:pt idx="8">
                  <c:v>117666.07</c:v>
                </c:pt>
                <c:pt idx="9">
                  <c:v>138131.84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1635443"/>
        <c:axId val="581248389"/>
      </c:barChart>
      <c:catAx>
        <c:axId val="216354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581248389"/>
        <c:crosses val="autoZero"/>
        <c:auto val="1"/>
        <c:lblAlgn val="ctr"/>
        <c:lblOffset val="100"/>
        <c:noMultiLvlLbl val="0"/>
      </c:catAx>
      <c:valAx>
        <c:axId val="58124838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216354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932204700061843"/>
          <c:y val="0.0664493091134917"/>
          <c:w val="0.0654761904761905"/>
          <c:h val="0.1769911504424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/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2872a9-e7fe-440f-8337-75cb8076491e}"/>
      </c:ext>
    </c:extLst>
  </c:chart>
  <c:spPr>
    <a:solidFill>
      <a:srgbClr val="E5C5B9"/>
    </a:solidFill>
    <a:ln w="9525" cap="flat" cmpd="sng" algn="ctr">
      <a:noFill/>
      <a:round/>
    </a:ln>
    <a:effectLst/>
  </c:spPr>
  <c:txPr>
    <a:bodyPr/>
    <a:lstStyle/>
    <a:p>
      <a:pPr>
        <a:defRPr lang="en-US" sz="900">
          <a:solidFill>
            <a:schemeClr val="tx1"/>
          </a:solidFill>
          <a:latin typeface="DengXian" panose="02010600030101010101" charset="-122"/>
          <a:ea typeface="DengXian" panose="02010600030101010101" charset="-122"/>
          <a:cs typeface="DengXian" panose="02010600030101010101" charset="-122"/>
          <a:sym typeface="DengXian" panose="02010600030101010101" charset="-122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[Case4.xlsx]pivot_tables!PivotTable7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b="1"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Top 3 Most Selling Product Category</a:t>
            </a:r>
            <a:endParaRPr b="1"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pivot_tables!$B$16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pivot_tables!$A$17:$A$20</c:f>
              <c:strCache>
                <c:ptCount val="3"/>
                <c:pt idx="0">
                  <c:v>Dairy &amp; Breakfast</c:v>
                </c:pt>
                <c:pt idx="1">
                  <c:v>Pet Care</c:v>
                </c:pt>
                <c:pt idx="2">
                  <c:v>Pharmacy</c:v>
                </c:pt>
              </c:strCache>
            </c:strRef>
          </c:cat>
          <c:val>
            <c:numRef>
              <c:f>pivot_tables!$B$17:$B$20</c:f>
              <c:numCache>
                <c:formatCode>General</c:formatCode>
                <c:ptCount val="3"/>
                <c:pt idx="0">
                  <c:v>316645.53</c:v>
                </c:pt>
                <c:pt idx="1">
                  <c:v>254026.02</c:v>
                </c:pt>
                <c:pt idx="2">
                  <c:v>302638.92</c:v>
                </c:pt>
              </c:numCache>
            </c:numRef>
          </c:val>
        </c:ser>
        <c:ser>
          <c:idx val="1"/>
          <c:order val="1"/>
          <c:tx>
            <c:strRef>
              <c:f>pivot_tables!$C$16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pivot_tables!$A$17:$A$20</c:f>
              <c:strCache>
                <c:ptCount val="3"/>
                <c:pt idx="0">
                  <c:v>Dairy &amp; Breakfast</c:v>
                </c:pt>
                <c:pt idx="1">
                  <c:v>Pet Care</c:v>
                </c:pt>
                <c:pt idx="2">
                  <c:v>Pharmacy</c:v>
                </c:pt>
              </c:strCache>
            </c:strRef>
          </c:cat>
          <c:val>
            <c:numRef>
              <c:f>pivot_tables!$C$17:$C$20</c:f>
              <c:numCache>
                <c:formatCode>General</c:formatCode>
                <c:ptCount val="3"/>
                <c:pt idx="0">
                  <c:v>322576.66</c:v>
                </c:pt>
                <c:pt idx="1">
                  <c:v>285862.73</c:v>
                </c:pt>
                <c:pt idx="2">
                  <c:v>289729.65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92572291"/>
        <c:axId val="616697969"/>
      </c:barChart>
      <c:catAx>
        <c:axId val="79257229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616697969"/>
        <c:crosses val="autoZero"/>
        <c:auto val="1"/>
        <c:lblAlgn val="ctr"/>
        <c:lblOffset val="100"/>
        <c:noMultiLvlLbl val="0"/>
      </c:catAx>
      <c:valAx>
        <c:axId val="61669796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7925722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890147938306579"/>
          <c:y val="0.403969754253308"/>
          <c:w val="0.0888679047319274"/>
          <c:h val="0.19508506616257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/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a48d80-0cbb-41de-86ad-ed7d030f8cdf}"/>
      </c:ext>
    </c:extLst>
  </c:chart>
  <c:spPr>
    <a:solidFill>
      <a:srgbClr val="E5C5B9"/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  <a:latin typeface="DengXian" panose="02010600030101010101" charset="-122"/>
          <a:ea typeface="DengXian" panose="02010600030101010101" charset="-122"/>
          <a:cs typeface="DengXian" panose="02010600030101010101" charset="-122"/>
          <a:sym typeface="DengXian" panose="02010600030101010101" charset="-122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[Case4.xlsx]pivot_tables!PivotTable10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b="1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Top 10 Highest Sales Growth Products</a:t>
            </a:r>
            <a:endParaRPr b="1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0931894414466968"/>
          <c:y val="0.02459016393442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3845694672437"/>
          <c:y val="0.251587301587302"/>
          <c:w val="0.476496045366363"/>
          <c:h val="0.633531746031746"/>
        </c:manualLayout>
      </c:layout>
      <c:radarChart>
        <c:radarStyle val="marker"/>
        <c:varyColors val="0"/>
        <c:ser>
          <c:idx val="0"/>
          <c:order val="0"/>
          <c:tx>
            <c:strRef>
              <c:f>pivot_tables!$B$37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E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pivot_tables!$A$38:$A$48</c:f>
              <c:strCache>
                <c:ptCount val="10"/>
                <c:pt idx="0">
                  <c:v>Carrots</c:v>
                </c:pt>
                <c:pt idx="1">
                  <c:v>Chocolates</c:v>
                </c:pt>
                <c:pt idx="2">
                  <c:v>Curd</c:v>
                </c:pt>
                <c:pt idx="3">
                  <c:v>Detergent</c:v>
                </c:pt>
                <c:pt idx="4">
                  <c:v>Dish Soap</c:v>
                </c:pt>
                <c:pt idx="5">
                  <c:v>Frozen Vegetables</c:v>
                </c:pt>
                <c:pt idx="6">
                  <c:v>Pet Treats</c:v>
                </c:pt>
                <c:pt idx="7">
                  <c:v>Salt</c:v>
                </c:pt>
                <c:pt idx="8">
                  <c:v>Toilet Cleaner</c:v>
                </c:pt>
                <c:pt idx="9">
                  <c:v>Wheat Flour</c:v>
                </c:pt>
              </c:strCache>
            </c:strRef>
          </c:cat>
          <c:val>
            <c:numRef>
              <c:f>pivot_tables!$B$38:$B$48</c:f>
              <c:numCache>
                <c:formatCode>General</c:formatCode>
                <c:ptCount val="10"/>
                <c:pt idx="0">
                  <c:v>18</c:v>
                </c:pt>
                <c:pt idx="1">
                  <c:v>34</c:v>
                </c:pt>
                <c:pt idx="2">
                  <c:v>24</c:v>
                </c:pt>
                <c:pt idx="3">
                  <c:v>35</c:v>
                </c:pt>
                <c:pt idx="4">
                  <c:v>34</c:v>
                </c:pt>
                <c:pt idx="5">
                  <c:v>70</c:v>
                </c:pt>
                <c:pt idx="6">
                  <c:v>39</c:v>
                </c:pt>
                <c:pt idx="7">
                  <c:v>38</c:v>
                </c:pt>
                <c:pt idx="8">
                  <c:v>43</c:v>
                </c:pt>
                <c:pt idx="9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239778"/>
        <c:axId val="484408467"/>
      </c:radarChart>
      <c:catAx>
        <c:axId val="6352397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484408467"/>
        <c:crosses val="autoZero"/>
        <c:auto val="1"/>
        <c:lblAlgn val="ctr"/>
        <c:lblOffset val="100"/>
        <c:noMultiLvlLbl val="0"/>
      </c:catAx>
      <c:valAx>
        <c:axId val="4844084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C00000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52397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e308d0-d9ef-469d-b192-97d81ccb03c5}"/>
      </c:ext>
    </c:extLst>
  </c:chart>
  <c:spPr>
    <a:solidFill>
      <a:srgbClr val="E5C5B9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</xdr:colOff>
      <xdr:row>6</xdr:row>
      <xdr:rowOff>153670</xdr:rowOff>
    </xdr:from>
    <xdr:to>
      <xdr:col>16</xdr:col>
      <xdr:colOff>327660</xdr:colOff>
      <xdr:row>26</xdr:row>
      <xdr:rowOff>114935</xdr:rowOff>
    </xdr:to>
    <xdr:graphicFrame>
      <xdr:nvGraphicFramePr>
        <xdr:cNvPr id="4" name="Chart 3"/>
        <xdr:cNvGraphicFramePr/>
      </xdr:nvGraphicFramePr>
      <xdr:xfrm>
        <a:off x="1866900" y="1250950"/>
        <a:ext cx="8214360" cy="3961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27</xdr:row>
      <xdr:rowOff>136525</xdr:rowOff>
    </xdr:from>
    <xdr:to>
      <xdr:col>10</xdr:col>
      <xdr:colOff>222885</xdr:colOff>
      <xdr:row>44</xdr:row>
      <xdr:rowOff>150495</xdr:rowOff>
    </xdr:to>
    <xdr:graphicFrame>
      <xdr:nvGraphicFramePr>
        <xdr:cNvPr id="5" name="Chart 4"/>
        <xdr:cNvGraphicFramePr/>
      </xdr:nvGraphicFramePr>
      <xdr:xfrm>
        <a:off x="266700" y="5417185"/>
        <a:ext cx="6052185" cy="335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434340</xdr:colOff>
      <xdr:row>27</xdr:row>
      <xdr:rowOff>139700</xdr:rowOff>
    </xdr:from>
    <xdr:to>
      <xdr:col>16</xdr:col>
      <xdr:colOff>1031875</xdr:colOff>
      <xdr:row>43</xdr:row>
      <xdr:rowOff>177800</xdr:rowOff>
    </xdr:to>
    <xdr:graphicFrame>
      <xdr:nvGraphicFramePr>
        <xdr:cNvPr id="8" name="Chart 7"/>
        <xdr:cNvGraphicFramePr/>
      </xdr:nvGraphicFramePr>
      <xdr:xfrm>
        <a:off x="6530340" y="5420360"/>
        <a:ext cx="4255135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16510</xdr:colOff>
      <xdr:row>6</xdr:row>
      <xdr:rowOff>7620</xdr:rowOff>
    </xdr:from>
    <xdr:to>
      <xdr:col>3</xdr:col>
      <xdr:colOff>16510</xdr:colOff>
      <xdr:row>24</xdr:row>
      <xdr:rowOff>116205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roduct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10" y="1104900"/>
              <a:ext cx="1828800" cy="3743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5982291667" refreshedBy="josep" recordCount="10">
  <cacheSource type="worksheet">
    <worksheetSource ref="A1:D11" sheet="product_sales"/>
  </cacheSource>
  <cacheFields count="4">
    <cacheField name="product_name" numFmtId="0">
      <sharedItems count="10">
        <s v="Pet Treats"/>
        <s v="Vitamins"/>
        <s v="Toilet Cleaner"/>
        <s v="Dish Soap"/>
        <s v="Bread"/>
        <s v="Cough Syrup"/>
        <s v="Baby Wipes"/>
        <s v="Cat Food"/>
        <s v="Lotion"/>
        <s v="Eggs"/>
      </sharedItems>
    </cacheField>
    <cacheField name="total_sales_2023" numFmtId="0">
      <sharedItems containsSemiMixedTypes="0" containsString="0" containsNumber="1" minValue="0" maxValue="122690.17" count="10">
        <n v="105226.7"/>
        <n v="122690.17"/>
        <n v="82171.41"/>
        <n v="78935.33"/>
        <n v="84624.73"/>
        <n v="106435.49"/>
        <n v="75065.06"/>
        <n v="91000.1"/>
        <n v="68798.71"/>
        <n v="70025.29"/>
      </sharedItems>
    </cacheField>
    <cacheField name="total_sales_2024" numFmtId="0">
      <sharedItems containsSemiMixedTypes="0" containsString="0" containsNumber="1" minValue="0" maxValue="146780.67" count="10">
        <n v="146780.67"/>
        <n v="138131.84"/>
        <n v="117666.07"/>
        <n v="105505.88"/>
        <n v="100226.37"/>
        <n v="97134.49"/>
        <n v="83703.35"/>
        <n v="75596.29"/>
        <n v="67601.71"/>
        <n v="67371.54"/>
      </sharedItems>
    </cacheField>
    <cacheField name="growth_pct" numFmtId="0">
      <sharedItems containsSemiMixedTypes="0" containsString="0" containsNumber="1" containsInteger="1" minValue="0" maxValue="143" count="10">
        <n v="139"/>
        <n v="113"/>
        <n v="143"/>
        <n v="134"/>
        <n v="118"/>
        <n v="91"/>
        <n v="112"/>
        <n v="83"/>
        <n v="98"/>
        <n v="9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5982291667" refreshedBy="josep" recordCount="3">
  <cacheSource type="worksheet">
    <worksheetSource ref="A1:D4" sheet="category_sales"/>
  </cacheSource>
  <cacheFields count="4">
    <cacheField name="category" numFmtId="0">
      <sharedItems count="3">
        <s v="Dairy &amp; Breakfast"/>
        <s v="Pharmacy"/>
        <s v="Pet Care"/>
      </sharedItems>
    </cacheField>
    <cacheField name="total_sales_2023" numFmtId="0">
      <sharedItems containsSemiMixedTypes="0" containsString="0" containsNumber="1" minValue="0" maxValue="316645.53" count="3">
        <n v="316645.53"/>
        <n v="302638.92"/>
        <n v="254026.02"/>
      </sharedItems>
    </cacheField>
    <cacheField name="total_sales_2024" numFmtId="0">
      <sharedItems containsSemiMixedTypes="0" containsString="0" containsNumber="1" minValue="0" maxValue="322576.66" count="3">
        <n v="322576.66"/>
        <n v="289729.65"/>
        <n v="285862.73"/>
      </sharedItems>
    </cacheField>
    <cacheField name="growth_pct" numFmtId="0">
      <sharedItems containsSemiMixedTypes="0" containsString="0" containsNumber="1" containsInteger="1" minValue="0" maxValue="113" count="3">
        <n v="102"/>
        <n v="96"/>
        <n v="113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5982291667" refreshedBy="josep" recordCount="10">
  <cacheSource type="worksheet">
    <worksheetSource ref="A1:D11" sheet="growth_percent"/>
  </cacheSource>
  <cacheFields count="4">
    <cacheField name="product_name" numFmtId="0">
      <sharedItems count="10">
        <s v="Frozen Vegetables"/>
        <s v="Toilet Cleaner"/>
        <s v="Pet Treats"/>
        <s v="Salt"/>
        <s v="Detergent"/>
        <s v="Chocolates"/>
        <s v="Dish Soap"/>
        <s v="Curd"/>
        <s v="Wheat Flour"/>
        <s v="Carrots"/>
      </sharedItems>
    </cacheField>
    <cacheField name="total_sales_2023" numFmtId="0">
      <sharedItems containsSemiMixedTypes="0" containsString="0" containsNumber="1" minValue="0" maxValue="105226.7" count="10">
        <n v="21922.4"/>
        <n v="82171.41"/>
        <n v="105226.7"/>
        <n v="19332.81"/>
        <n v="25527.51"/>
        <n v="21241.96"/>
        <n v="78935.33"/>
        <n v="33106.39"/>
        <n v="41569.56"/>
        <n v="55245.54"/>
      </sharedItems>
    </cacheField>
    <cacheField name="total_sales_2024" numFmtId="0">
      <sharedItems containsSemiMixedTypes="0" containsString="0" containsNumber="1" minValue="0" maxValue="146780.67" count="10">
        <n v="37243.17"/>
        <n v="117666.07"/>
        <n v="146780.67"/>
        <n v="26763.45"/>
        <n v="34438.05"/>
        <n v="28377.96"/>
        <n v="105505.88"/>
        <n v="40948.69"/>
        <n v="51222.1"/>
        <n v="65253.71"/>
      </sharedItems>
    </cacheField>
    <cacheField name="growth" numFmtId="0">
      <sharedItems containsSemiMixedTypes="0" containsString="0" containsNumber="1" containsInteger="1" minValue="0" maxValue="170" count="9">
        <n v="170"/>
        <n v="143"/>
        <n v="139"/>
        <n v="138"/>
        <n v="135"/>
        <n v="134"/>
        <n v="124"/>
        <n v="123"/>
        <n v="118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5984722222" refreshedBy="josep" recordCount="10">
  <cacheSource type="worksheet">
    <worksheetSource ref="A1:E11" sheet="growth_percent"/>
  </cacheSource>
  <cacheFields count="5">
    <cacheField name="product_name" numFmtId="0">
      <sharedItems count="10">
        <s v="Frozen Vegetables"/>
        <s v="Toilet Cleaner"/>
        <s v="Pet Treats"/>
        <s v="Salt"/>
        <s v="Detergent"/>
        <s v="Chocolates"/>
        <s v="Dish Soap"/>
        <s v="Curd"/>
        <s v="Wheat Flour"/>
        <s v="Carrots"/>
      </sharedItems>
    </cacheField>
    <cacheField name="total_sales_2023" numFmtId="0">
      <sharedItems containsSemiMixedTypes="0" containsString="0" containsNumber="1" minValue="0" maxValue="105226.7" count="10">
        <n v="21922.4"/>
        <n v="82171.41"/>
        <n v="105226.7"/>
        <n v="19332.81"/>
        <n v="25527.51"/>
        <n v="21241.96"/>
        <n v="78935.33"/>
        <n v="33106.39"/>
        <n v="41569.56"/>
        <n v="55245.54"/>
      </sharedItems>
    </cacheField>
    <cacheField name="total_sales_2024" numFmtId="0">
      <sharedItems containsSemiMixedTypes="0" containsString="0" containsNumber="1" minValue="0" maxValue="146780.67" count="10">
        <n v="37243.17"/>
        <n v="117666.07"/>
        <n v="146780.67"/>
        <n v="26763.45"/>
        <n v="34438.05"/>
        <n v="28377.96"/>
        <n v="105505.88"/>
        <n v="40948.69"/>
        <n v="51222.1"/>
        <n v="65253.71"/>
      </sharedItems>
    </cacheField>
    <cacheField name="growth" numFmtId="0">
      <sharedItems containsSemiMixedTypes="0" containsString="0" containsNumber="1" containsInteger="1" minValue="0" maxValue="170" count="9">
        <n v="170"/>
        <n v="143"/>
        <n v="139"/>
        <n v="138"/>
        <n v="135"/>
        <n v="134"/>
        <n v="124"/>
        <n v="123"/>
        <n v="118"/>
      </sharedItems>
    </cacheField>
    <cacheField name="growth_percentage" numFmtId="0">
      <sharedItems containsSemiMixedTypes="0" containsString="0" containsNumber="1" containsInteger="1" minValue="0" maxValue="70" count="9">
        <n v="70"/>
        <n v="43"/>
        <n v="39"/>
        <n v="38"/>
        <n v="35"/>
        <n v="34"/>
        <n v="24"/>
        <n v="23"/>
        <n v="1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  <r>
    <x v="8"/>
    <x v="8"/>
    <x v="8"/>
    <x v="8"/>
  </r>
  <r>
    <x v="9"/>
    <x v="9"/>
    <x v="9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  <x v="0"/>
  </r>
  <r>
    <x v="1"/>
    <x v="1"/>
    <x v="1"/>
    <x v="1"/>
  </r>
  <r>
    <x v="2"/>
    <x v="2"/>
    <x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5"/>
  </r>
  <r>
    <x v="7"/>
    <x v="7"/>
    <x v="7"/>
    <x v="6"/>
  </r>
  <r>
    <x v="8"/>
    <x v="8"/>
    <x v="8"/>
    <x v="7"/>
  </r>
  <r>
    <x v="9"/>
    <x v="9"/>
    <x v="9"/>
    <x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4"/>
    <x v="4"/>
    <x v="4"/>
    <x v="4"/>
    <x v="4"/>
  </r>
  <r>
    <x v="5"/>
    <x v="5"/>
    <x v="5"/>
    <x v="5"/>
    <x v="5"/>
  </r>
  <r>
    <x v="6"/>
    <x v="6"/>
    <x v="6"/>
    <x v="5"/>
    <x v="5"/>
  </r>
  <r>
    <x v="7"/>
    <x v="7"/>
    <x v="7"/>
    <x v="6"/>
    <x v="6"/>
  </r>
  <r>
    <x v="8"/>
    <x v="8"/>
    <x v="8"/>
    <x v="7"/>
    <x v="7"/>
  </r>
  <r>
    <x v="9"/>
    <x v="9"/>
    <x v="9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2:C13" firstHeaderRow="0" firstDataRow="1" firstDataCol="1"/>
  <pivotFields count="4">
    <pivotField axis="axisRow" name="product name" compact="0" showAll="0">
      <items count="11">
        <item x="6"/>
        <item x="4"/>
        <item x="7"/>
        <item x="5"/>
        <item x="3"/>
        <item x="9"/>
        <item x="8"/>
        <item x="0"/>
        <item x="2"/>
        <item x="1"/>
        <item t="default"/>
      </items>
    </pivotField>
    <pivotField dataField="1" compact="0" showAll="0">
      <items count="11">
        <item x="8"/>
        <item x="9"/>
        <item x="6"/>
        <item x="3"/>
        <item x="2"/>
        <item x="4"/>
        <item x="7"/>
        <item x="0"/>
        <item x="5"/>
        <item x="1"/>
        <item t="default"/>
      </items>
    </pivotField>
    <pivotField dataField="1"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1">
        <item x="7"/>
        <item x="5"/>
        <item x="9"/>
        <item x="8"/>
        <item x="6"/>
        <item x="1"/>
        <item x="4"/>
        <item x="3"/>
        <item x="0"/>
        <item x="2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2023" fld="1" baseField="0" baseItem="0"/>
    <dataField name="2024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6:C20" firstHeaderRow="0" firstDataRow="1" firstDataCol="1"/>
  <pivotFields count="4">
    <pivotField axis="axisRow" compact="0" showAll="0">
      <items count="4">
        <item x="0"/>
        <item x="2"/>
        <item x="1"/>
        <item t="default"/>
      </items>
    </pivotField>
    <pivotField dataField="1" compact="0" showAll="0">
      <items count="4">
        <item x="2"/>
        <item x="1"/>
        <item x="0"/>
        <item t="default"/>
      </items>
    </pivotField>
    <pivotField dataField="1" compact="0" showAll="0">
      <items count="4">
        <item x="2"/>
        <item x="1"/>
        <item x="0"/>
        <item t="default"/>
      </items>
    </pivotField>
    <pivotField compact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2023 " fld="1" baseField="0" baseItem="0"/>
    <dataField name="2024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3:C34" firstHeaderRow="0" firstDataRow="1" firstDataCol="1"/>
  <pivotFields count="4">
    <pivotField axis="axisRow" name="product name" compact="0" showAll="0">
      <items count="11">
        <item x="9"/>
        <item x="5"/>
        <item x="7"/>
        <item x="4"/>
        <item x="6"/>
        <item x="0"/>
        <item x="2"/>
        <item x="3"/>
        <item x="1"/>
        <item x="8"/>
        <item t="default"/>
      </items>
    </pivotField>
    <pivotField dataField="1" compact="0" showAll="0">
      <items count="11">
        <item x="3"/>
        <item x="5"/>
        <item x="0"/>
        <item x="4"/>
        <item x="7"/>
        <item x="8"/>
        <item x="9"/>
        <item x="6"/>
        <item x="1"/>
        <item x="2"/>
        <item t="default"/>
      </items>
    </pivotField>
    <pivotField dataField="1" compact="0" showAll="0">
      <items count="11">
        <item x="3"/>
        <item x="5"/>
        <item x="4"/>
        <item x="0"/>
        <item x="7"/>
        <item x="8"/>
        <item x="9"/>
        <item x="6"/>
        <item x="1"/>
        <item x="2"/>
        <item t="default"/>
      </items>
    </pivotField>
    <pivotField compact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2023" fld="1" baseField="0" baseItem="0"/>
    <dataField name="2024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7:B48" firstHeaderRow="1" firstDataRow="1" firstDataCol="1"/>
  <pivotFields count="5">
    <pivotField axis="axisRow" compact="0" showAll="0">
      <items count="11">
        <item x="9"/>
        <item x="5"/>
        <item x="7"/>
        <item x="4"/>
        <item x="6"/>
        <item x="0"/>
        <item x="2"/>
        <item x="3"/>
        <item x="1"/>
        <item x="8"/>
        <item t="default"/>
      </items>
    </pivotField>
    <pivotField compact="0" showAll="0"/>
    <pivotField compact="0" showAll="0"/>
    <pivotField compact="0" showAll="0"/>
    <pivotField dataField="1" compact="0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growth percentage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name" sourceName="product_name">
  <pivotTables>
    <pivotTable tabId="4" name="PivotTable6"/>
  </pivotTables>
  <data>
    <tabular pivotCacheId="1">
      <items count="10">
        <i x="6" s="1"/>
        <i x="4" s="1"/>
        <i x="7" s="1"/>
        <i x="5" s="1"/>
        <i x="3" s="1"/>
        <i x="9" s="1"/>
        <i x="8" s="1"/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name" cache="Slicer_product_name" caption="product name" style="Slicer Style 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5" sqref="D5"/>
    </sheetView>
  </sheetViews>
  <sheetFormatPr defaultColWidth="8.88888888888889" defaultRowHeight="14.4" outlineLevelCol="3"/>
  <cols>
    <col min="1" max="1" width="15.3333333333333" customWidth="1"/>
    <col min="2" max="2" width="16.1111111111111" customWidth="1"/>
    <col min="3" max="3" width="19.1111111111111" customWidth="1"/>
    <col min="4" max="4" width="13.6666666666667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3</v>
      </c>
    </row>
    <row r="2" spans="1:4">
      <c r="A2" t="s">
        <v>4</v>
      </c>
      <c r="B2">
        <v>105226.7</v>
      </c>
      <c r="C2">
        <v>146780.67</v>
      </c>
      <c r="D2">
        <v>139</v>
      </c>
    </row>
    <row r="3" spans="1:4">
      <c r="A3" t="s">
        <v>5</v>
      </c>
      <c r="B3">
        <v>122690.17</v>
      </c>
      <c r="C3">
        <v>138131.84</v>
      </c>
      <c r="D3">
        <v>113</v>
      </c>
    </row>
    <row r="4" spans="1:4">
      <c r="A4" t="s">
        <v>6</v>
      </c>
      <c r="B4">
        <v>82171.41</v>
      </c>
      <c r="C4">
        <v>117666.07</v>
      </c>
      <c r="D4">
        <v>143</v>
      </c>
    </row>
    <row r="5" spans="1:4">
      <c r="A5" t="s">
        <v>7</v>
      </c>
      <c r="B5">
        <v>78935.33</v>
      </c>
      <c r="C5">
        <v>105505.88</v>
      </c>
      <c r="D5">
        <v>134</v>
      </c>
    </row>
    <row r="6" spans="1:4">
      <c r="A6" t="s">
        <v>8</v>
      </c>
      <c r="B6">
        <v>84624.73</v>
      </c>
      <c r="C6">
        <v>100226.37</v>
      </c>
      <c r="D6">
        <v>118</v>
      </c>
    </row>
    <row r="7" spans="1:4">
      <c r="A7" t="s">
        <v>9</v>
      </c>
      <c r="B7">
        <v>106435.49</v>
      </c>
      <c r="C7">
        <v>97134.49</v>
      </c>
      <c r="D7">
        <v>91</v>
      </c>
    </row>
    <row r="8" spans="1:4">
      <c r="A8" t="s">
        <v>10</v>
      </c>
      <c r="B8">
        <v>75065.06</v>
      </c>
      <c r="C8">
        <v>83703.35</v>
      </c>
      <c r="D8">
        <v>112</v>
      </c>
    </row>
    <row r="9" spans="1:4">
      <c r="A9" t="s">
        <v>11</v>
      </c>
      <c r="B9">
        <v>91000.1</v>
      </c>
      <c r="C9">
        <v>75596.29</v>
      </c>
      <c r="D9">
        <v>83</v>
      </c>
    </row>
    <row r="10" spans="1:4">
      <c r="A10" t="s">
        <v>12</v>
      </c>
      <c r="B10">
        <v>68798.71</v>
      </c>
      <c r="C10">
        <v>67601.71</v>
      </c>
      <c r="D10">
        <v>98</v>
      </c>
    </row>
    <row r="11" spans="1:4">
      <c r="A11" t="s">
        <v>13</v>
      </c>
      <c r="B11">
        <v>70025.29</v>
      </c>
      <c r="C11">
        <v>67371.54</v>
      </c>
      <c r="D11">
        <v>96</v>
      </c>
    </row>
  </sheetData>
  <autoFilter xmlns:etc="http://www.wps.cn/officeDocument/2017/etCustomData" ref="A1:D11" etc:filterBottomFollowUsedRange="0">
    <extLst/>
  </autoFilter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B29" sqref="B29"/>
    </sheetView>
  </sheetViews>
  <sheetFormatPr defaultColWidth="8.88888888888889" defaultRowHeight="14.4" outlineLevelRow="3" outlineLevelCol="3"/>
  <cols>
    <col min="1" max="1" width="18.7777777777778" customWidth="1"/>
    <col min="2" max="2" width="17.8888888888889" customWidth="1"/>
    <col min="3" max="3" width="16.5555555555556" customWidth="1"/>
    <col min="4" max="4" width="14.7777777777778" customWidth="1"/>
  </cols>
  <sheetData>
    <row r="1" spans="1:4">
      <c r="A1" s="13" t="s">
        <v>14</v>
      </c>
      <c r="B1" s="13" t="s">
        <v>1</v>
      </c>
      <c r="C1" s="13" t="s">
        <v>2</v>
      </c>
      <c r="D1" s="13" t="s">
        <v>3</v>
      </c>
    </row>
    <row r="2" spans="1:4">
      <c r="A2" t="s">
        <v>15</v>
      </c>
      <c r="B2">
        <v>316645.53</v>
      </c>
      <c r="C2">
        <v>322576.66</v>
      </c>
      <c r="D2">
        <v>102</v>
      </c>
    </row>
    <row r="3" spans="1:4">
      <c r="A3" t="s">
        <v>16</v>
      </c>
      <c r="B3">
        <v>302638.92</v>
      </c>
      <c r="C3">
        <v>289729.65</v>
      </c>
      <c r="D3">
        <v>96</v>
      </c>
    </row>
    <row r="4" spans="1:4">
      <c r="A4" t="s">
        <v>17</v>
      </c>
      <c r="B4">
        <v>254026.02</v>
      </c>
      <c r="C4">
        <v>285862.73</v>
      </c>
      <c r="D4">
        <v>113</v>
      </c>
    </row>
  </sheetData>
  <autoFilter xmlns:etc="http://www.wps.cn/officeDocument/2017/etCustomData" ref="A1:D4" etc:filterBottomFollowUsedRange="0">
    <extLst/>
  </autoFilter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"/>
    </sheetView>
  </sheetViews>
  <sheetFormatPr defaultColWidth="8.88888888888889" defaultRowHeight="14.4" outlineLevelCol="4"/>
  <cols>
    <col min="1" max="1" width="17.2222222222222" customWidth="1"/>
    <col min="2" max="2" width="18.3333333333333" customWidth="1"/>
    <col min="3" max="3" width="20.8888888888889" customWidth="1"/>
    <col min="4" max="4" width="9.77777777777778" customWidth="1"/>
    <col min="5" max="5" width="20.5555555555556" customWidth="1"/>
    <col min="6" max="6" width="9.44444444444444" customWidth="1"/>
  </cols>
  <sheetData>
    <row r="1" spans="1:5">
      <c r="A1" s="13" t="s">
        <v>0</v>
      </c>
      <c r="B1" s="13" t="s">
        <v>1</v>
      </c>
      <c r="C1" s="13" t="s">
        <v>2</v>
      </c>
      <c r="D1" s="13" t="s">
        <v>18</v>
      </c>
      <c r="E1" s="13" t="s">
        <v>19</v>
      </c>
    </row>
    <row r="2" spans="1:5">
      <c r="A2" t="s">
        <v>20</v>
      </c>
      <c r="B2">
        <v>21922.4</v>
      </c>
      <c r="C2">
        <v>37243.17</v>
      </c>
      <c r="D2">
        <v>170</v>
      </c>
      <c r="E2">
        <f t="shared" ref="E2:E11" si="0">D2-100</f>
        <v>70</v>
      </c>
    </row>
    <row r="3" spans="1:5">
      <c r="A3" t="s">
        <v>6</v>
      </c>
      <c r="B3">
        <v>82171.41</v>
      </c>
      <c r="C3">
        <v>117666.07</v>
      </c>
      <c r="D3">
        <v>143</v>
      </c>
      <c r="E3">
        <f t="shared" si="0"/>
        <v>43</v>
      </c>
    </row>
    <row r="4" spans="1:5">
      <c r="A4" t="s">
        <v>4</v>
      </c>
      <c r="B4">
        <v>105226.7</v>
      </c>
      <c r="C4">
        <v>146780.67</v>
      </c>
      <c r="D4">
        <v>139</v>
      </c>
      <c r="E4">
        <f t="shared" si="0"/>
        <v>39</v>
      </c>
    </row>
    <row r="5" spans="1:5">
      <c r="A5" t="s">
        <v>21</v>
      </c>
      <c r="B5">
        <v>19332.81</v>
      </c>
      <c r="C5">
        <v>26763.45</v>
      </c>
      <c r="D5">
        <v>138</v>
      </c>
      <c r="E5">
        <f t="shared" si="0"/>
        <v>38</v>
      </c>
    </row>
    <row r="6" spans="1:5">
      <c r="A6" t="s">
        <v>22</v>
      </c>
      <c r="B6">
        <v>25527.51</v>
      </c>
      <c r="C6">
        <v>34438.05</v>
      </c>
      <c r="D6">
        <v>135</v>
      </c>
      <c r="E6">
        <f t="shared" si="0"/>
        <v>35</v>
      </c>
    </row>
    <row r="7" spans="1:5">
      <c r="A7" t="s">
        <v>23</v>
      </c>
      <c r="B7">
        <v>21241.96</v>
      </c>
      <c r="C7">
        <v>28377.96</v>
      </c>
      <c r="D7">
        <v>134</v>
      </c>
      <c r="E7">
        <f t="shared" si="0"/>
        <v>34</v>
      </c>
    </row>
    <row r="8" spans="1:5">
      <c r="A8" t="s">
        <v>7</v>
      </c>
      <c r="B8">
        <v>78935.33</v>
      </c>
      <c r="C8">
        <v>105505.88</v>
      </c>
      <c r="D8">
        <v>134</v>
      </c>
      <c r="E8">
        <f t="shared" si="0"/>
        <v>34</v>
      </c>
    </row>
    <row r="9" spans="1:5">
      <c r="A9" t="s">
        <v>24</v>
      </c>
      <c r="B9">
        <v>33106.39</v>
      </c>
      <c r="C9">
        <v>40948.69</v>
      </c>
      <c r="D9">
        <v>124</v>
      </c>
      <c r="E9">
        <f t="shared" si="0"/>
        <v>24</v>
      </c>
    </row>
    <row r="10" spans="1:5">
      <c r="A10" t="s">
        <v>25</v>
      </c>
      <c r="B10">
        <v>41569.56</v>
      </c>
      <c r="C10">
        <v>51222.1</v>
      </c>
      <c r="D10">
        <v>123</v>
      </c>
      <c r="E10">
        <f t="shared" si="0"/>
        <v>23</v>
      </c>
    </row>
    <row r="11" spans="1:5">
      <c r="A11" t="s">
        <v>26</v>
      </c>
      <c r="B11">
        <v>55245.54</v>
      </c>
      <c r="C11">
        <v>65253.71</v>
      </c>
      <c r="D11">
        <v>118</v>
      </c>
      <c r="E11">
        <f t="shared" si="0"/>
        <v>18</v>
      </c>
    </row>
  </sheetData>
  <autoFilter xmlns:etc="http://www.wps.cn/officeDocument/2017/etCustomData" ref="A1:E11" etc:filterBottomFollowUsedRange="0">
    <extLst/>
  </autoFilter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8"/>
  <sheetViews>
    <sheetView topLeftCell="A22" workbookViewId="0">
      <selection activeCell="A37" sqref="A37:B48"/>
      <pivotSelection pane="bottomRight" showHeader="1" extendable="1" r:id="rId4">
        <pivotArea type="all" dataOnly="0" outline="0" fieldPosition="0"/>
      </pivotSelection>
    </sheetView>
  </sheetViews>
  <sheetFormatPr defaultColWidth="8.88888888888889" defaultRowHeight="14.4" outlineLevelCol="2"/>
  <cols>
    <col min="1" max="1" width="16"/>
    <col min="2" max="3" width="10.6666666666667"/>
    <col min="4" max="4" width="18"/>
    <col min="5" max="11" width="17.2222222222222"/>
    <col min="12" max="12" width="11.4444444444444"/>
    <col min="13" max="21" width="23.1111111111111"/>
    <col min="22" max="22" width="28.4444444444444"/>
    <col min="23" max="23" width="23.2222222222222"/>
  </cols>
  <sheetData>
    <row r="2" spans="1:3">
      <c r="A2" t="s">
        <v>27</v>
      </c>
      <c r="B2" t="s">
        <v>28</v>
      </c>
      <c r="C2" t="s">
        <v>29</v>
      </c>
    </row>
    <row r="3" spans="1:3">
      <c r="A3" t="s">
        <v>10</v>
      </c>
      <c r="B3">
        <v>75065.06</v>
      </c>
      <c r="C3">
        <v>83703.35</v>
      </c>
    </row>
    <row r="4" spans="1:3">
      <c r="A4" t="s">
        <v>8</v>
      </c>
      <c r="B4">
        <v>84624.73</v>
      </c>
      <c r="C4">
        <v>100226.37</v>
      </c>
    </row>
    <row r="5" spans="1:3">
      <c r="A5" t="s">
        <v>11</v>
      </c>
      <c r="B5">
        <v>91000.1</v>
      </c>
      <c r="C5">
        <v>75596.29</v>
      </c>
    </row>
    <row r="6" spans="1:3">
      <c r="A6" t="s">
        <v>9</v>
      </c>
      <c r="B6">
        <v>106435.49</v>
      </c>
      <c r="C6">
        <v>97134.49</v>
      </c>
    </row>
    <row r="7" spans="1:3">
      <c r="A7" t="s">
        <v>7</v>
      </c>
      <c r="B7">
        <v>78935.33</v>
      </c>
      <c r="C7">
        <v>105505.88</v>
      </c>
    </row>
    <row r="8" spans="1:3">
      <c r="A8" t="s">
        <v>13</v>
      </c>
      <c r="B8">
        <v>70025.29</v>
      </c>
      <c r="C8">
        <v>67371.54</v>
      </c>
    </row>
    <row r="9" spans="1:3">
      <c r="A9" t="s">
        <v>12</v>
      </c>
      <c r="B9">
        <v>68798.71</v>
      </c>
      <c r="C9">
        <v>67601.71</v>
      </c>
    </row>
    <row r="10" spans="1:3">
      <c r="A10" t="s">
        <v>4</v>
      </c>
      <c r="B10">
        <v>105226.7</v>
      </c>
      <c r="C10">
        <v>146780.67</v>
      </c>
    </row>
    <row r="11" spans="1:3">
      <c r="A11" t="s">
        <v>6</v>
      </c>
      <c r="B11">
        <v>82171.41</v>
      </c>
      <c r="C11">
        <v>117666.07</v>
      </c>
    </row>
    <row r="12" spans="1:3">
      <c r="A12" t="s">
        <v>5</v>
      </c>
      <c r="B12">
        <v>122690.17</v>
      </c>
      <c r="C12">
        <v>138131.84</v>
      </c>
    </row>
    <row r="13" spans="1:3">
      <c r="A13" t="s">
        <v>30</v>
      </c>
      <c r="B13">
        <v>884972.99</v>
      </c>
      <c r="C13">
        <v>999718.21</v>
      </c>
    </row>
    <row r="16" spans="1:3">
      <c r="A16" t="s">
        <v>14</v>
      </c>
      <c r="B16" t="s">
        <v>31</v>
      </c>
      <c r="C16" t="s">
        <v>29</v>
      </c>
    </row>
    <row r="17" spans="1:3">
      <c r="A17" t="s">
        <v>15</v>
      </c>
      <c r="B17">
        <v>316645.53</v>
      </c>
      <c r="C17">
        <v>322576.66</v>
      </c>
    </row>
    <row r="18" spans="1:3">
      <c r="A18" t="s">
        <v>17</v>
      </c>
      <c r="B18">
        <v>254026.02</v>
      </c>
      <c r="C18">
        <v>285862.73</v>
      </c>
    </row>
    <row r="19" spans="1:3">
      <c r="A19" t="s">
        <v>16</v>
      </c>
      <c r="B19">
        <v>302638.92</v>
      </c>
      <c r="C19">
        <v>289729.65</v>
      </c>
    </row>
    <row r="20" spans="1:3">
      <c r="A20" t="s">
        <v>30</v>
      </c>
      <c r="B20">
        <v>873310.47</v>
      </c>
      <c r="C20">
        <v>898169.04</v>
      </c>
    </row>
    <row r="23" spans="1:3">
      <c r="A23" t="s">
        <v>27</v>
      </c>
      <c r="B23" t="s">
        <v>28</v>
      </c>
      <c r="C23" t="s">
        <v>29</v>
      </c>
    </row>
    <row r="24" spans="1:3">
      <c r="A24" t="s">
        <v>26</v>
      </c>
      <c r="B24">
        <v>55245.54</v>
      </c>
      <c r="C24">
        <v>65253.71</v>
      </c>
    </row>
    <row r="25" spans="1:3">
      <c r="A25" t="s">
        <v>23</v>
      </c>
      <c r="B25">
        <v>21241.96</v>
      </c>
      <c r="C25">
        <v>28377.96</v>
      </c>
    </row>
    <row r="26" spans="1:3">
      <c r="A26" t="s">
        <v>24</v>
      </c>
      <c r="B26">
        <v>33106.39</v>
      </c>
      <c r="C26">
        <v>40948.69</v>
      </c>
    </row>
    <row r="27" spans="1:3">
      <c r="A27" t="s">
        <v>22</v>
      </c>
      <c r="B27">
        <v>25527.51</v>
      </c>
      <c r="C27">
        <v>34438.05</v>
      </c>
    </row>
    <row r="28" spans="1:3">
      <c r="A28" t="s">
        <v>7</v>
      </c>
      <c r="B28">
        <v>78935.33</v>
      </c>
      <c r="C28">
        <v>105505.88</v>
      </c>
    </row>
    <row r="29" spans="1:3">
      <c r="A29" t="s">
        <v>20</v>
      </c>
      <c r="B29">
        <v>21922.4</v>
      </c>
      <c r="C29">
        <v>37243.17</v>
      </c>
    </row>
    <row r="30" spans="1:3">
      <c r="A30" t="s">
        <v>4</v>
      </c>
      <c r="B30">
        <v>105226.7</v>
      </c>
      <c r="C30">
        <v>146780.67</v>
      </c>
    </row>
    <row r="31" spans="1:3">
      <c r="A31" t="s">
        <v>21</v>
      </c>
      <c r="B31">
        <v>19332.81</v>
      </c>
      <c r="C31">
        <v>26763.45</v>
      </c>
    </row>
    <row r="32" spans="1:3">
      <c r="A32" t="s">
        <v>6</v>
      </c>
      <c r="B32">
        <v>82171.41</v>
      </c>
      <c r="C32">
        <v>117666.07</v>
      </c>
    </row>
    <row r="33" spans="1:3">
      <c r="A33" t="s">
        <v>25</v>
      </c>
      <c r="B33">
        <v>41569.56</v>
      </c>
      <c r="C33">
        <v>51222.1</v>
      </c>
    </row>
    <row r="34" spans="1:3">
      <c r="A34" t="s">
        <v>30</v>
      </c>
      <c r="B34">
        <v>484279.61</v>
      </c>
      <c r="C34">
        <v>654199.75</v>
      </c>
    </row>
    <row r="37" spans="1:2">
      <c r="A37" t="s">
        <v>0</v>
      </c>
      <c r="B37" t="s">
        <v>32</v>
      </c>
    </row>
    <row r="38" spans="1:2">
      <c r="A38" t="s">
        <v>26</v>
      </c>
      <c r="B38">
        <v>18</v>
      </c>
    </row>
    <row r="39" spans="1:2">
      <c r="A39" t="s">
        <v>23</v>
      </c>
      <c r="B39">
        <v>34</v>
      </c>
    </row>
    <row r="40" spans="1:2">
      <c r="A40" t="s">
        <v>24</v>
      </c>
      <c r="B40">
        <v>24</v>
      </c>
    </row>
    <row r="41" spans="1:2">
      <c r="A41" t="s">
        <v>22</v>
      </c>
      <c r="B41">
        <v>35</v>
      </c>
    </row>
    <row r="42" spans="1:2">
      <c r="A42" t="s">
        <v>7</v>
      </c>
      <c r="B42">
        <v>34</v>
      </c>
    </row>
    <row r="43" spans="1:2">
      <c r="A43" t="s">
        <v>20</v>
      </c>
      <c r="B43">
        <v>70</v>
      </c>
    </row>
    <row r="44" spans="1:2">
      <c r="A44" t="s">
        <v>4</v>
      </c>
      <c r="B44">
        <v>39</v>
      </c>
    </row>
    <row r="45" spans="1:2">
      <c r="A45" t="s">
        <v>21</v>
      </c>
      <c r="B45">
        <v>38</v>
      </c>
    </row>
    <row r="46" spans="1:2">
      <c r="A46" t="s">
        <v>6</v>
      </c>
      <c r="B46">
        <v>43</v>
      </c>
    </row>
    <row r="47" spans="1:2">
      <c r="A47" t="s">
        <v>25</v>
      </c>
      <c r="B47">
        <v>23</v>
      </c>
    </row>
    <row r="48" spans="1:2">
      <c r="A48" t="s">
        <v>30</v>
      </c>
      <c r="B48">
        <v>358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46"/>
  <sheetViews>
    <sheetView showGridLines="0" tabSelected="1" topLeftCell="A12" workbookViewId="0">
      <selection activeCell="Q23" sqref="Q23"/>
    </sheetView>
  </sheetViews>
  <sheetFormatPr defaultColWidth="8.88888888888889" defaultRowHeight="14.4"/>
  <cols>
    <col min="17" max="17" width="18.4444444444444" customWidth="1"/>
    <col min="18" max="18" width="11.1111111111111" customWidth="1"/>
    <col min="19" max="19" width="11.7777777777778"/>
  </cols>
  <sheetData>
    <row r="1" spans="1:2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8.6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3" t="s">
        <v>34</v>
      </c>
      <c r="S11" s="4"/>
      <c r="T11" s="2"/>
      <c r="U11" s="2"/>
    </row>
    <row r="12" ht="17.4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5" t="s">
        <v>35</v>
      </c>
      <c r="S12" s="6"/>
      <c r="T12" s="7"/>
      <c r="U12" s="2"/>
    </row>
    <row r="13" ht="18.6" spans="1:2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6" t="str">
        <f>_xlfn.CONCAT("Product : ",product_sales!A2)</f>
        <v>Product : Pet Treats</v>
      </c>
      <c r="S13" s="6"/>
      <c r="T13" s="2"/>
      <c r="U13" s="2"/>
      <c r="X13" s="8"/>
      <c r="Y13" s="8"/>
      <c r="Z13" s="10"/>
      <c r="AA13" s="11"/>
    </row>
    <row r="14" ht="15.6" spans="1:2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6" t="str">
        <f>_xlfn.CONCAT("Sales in 2024 : ",product_sales!C2)</f>
        <v>Sales in 2024 : 146780.67</v>
      </c>
      <c r="S14" s="4"/>
      <c r="T14" s="2"/>
      <c r="U14" s="2"/>
      <c r="X14" s="9"/>
      <c r="Y14" s="9"/>
      <c r="Z14" s="9"/>
      <c r="AA14" s="12"/>
    </row>
    <row r="15" ht="15.6" spans="1:2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6" t="str">
        <f>_xlfn.CONCAT("Sales Growth : ",product_sales!D2-100,"%")</f>
        <v>Sales Growth : 39%</v>
      </c>
      <c r="S15" s="4"/>
      <c r="T15" s="2"/>
      <c r="U15" s="2"/>
      <c r="X15" s="9"/>
      <c r="Y15" s="9"/>
      <c r="Z15" s="10"/>
      <c r="AA15" s="11"/>
    </row>
    <row r="16" ht="17.4" spans="1:2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5" t="s">
        <v>36</v>
      </c>
      <c r="S16" s="6"/>
      <c r="T16" s="7"/>
      <c r="U16" s="2"/>
      <c r="X16" s="9"/>
      <c r="Y16" s="9"/>
      <c r="Z16" s="10"/>
      <c r="AA16" s="11"/>
    </row>
    <row r="17" ht="15.6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6" t="str">
        <f>_xlfn.CONCAT("Product : ",product_sales!A3)</f>
        <v>Product : Vitamins</v>
      </c>
      <c r="S17" s="4"/>
      <c r="T17" s="2"/>
      <c r="U17" s="2"/>
    </row>
    <row r="18" ht="15.6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6" t="str">
        <f>_xlfn.CONCAT("Sales in 2024 : ",product_sales!C3)</f>
        <v>Sales in 2024 : 138131.84</v>
      </c>
      <c r="S18" s="4"/>
      <c r="T18" s="2"/>
      <c r="U18" s="2"/>
    </row>
    <row r="19" ht="15.6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6" t="str">
        <f>_xlfn.CONCAT("Sales Growth : ",product_sales!D3-100,"%")</f>
        <v>Sales Growth : 13%</v>
      </c>
      <c r="S19" s="4"/>
      <c r="T19" s="2"/>
      <c r="U19" s="2"/>
    </row>
    <row r="20" ht="17.4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5" t="s">
        <v>37</v>
      </c>
      <c r="S20" s="6"/>
      <c r="T20" s="7"/>
      <c r="U20" s="2"/>
    </row>
    <row r="21" ht="15.6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6" t="str">
        <f>_xlfn.CONCAT("Product : ",product_sales!A4)</f>
        <v>Product : Toilet Cleaner</v>
      </c>
      <c r="S21" s="4"/>
      <c r="T21" s="2"/>
      <c r="U21" s="2"/>
    </row>
    <row r="22" ht="15.6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6" t="str">
        <f>_xlfn.CONCAT("Sales in 2024 : ",product_sales!C3)</f>
        <v>Sales in 2024 : 138131.84</v>
      </c>
      <c r="S22" s="4"/>
      <c r="T22" s="2"/>
      <c r="U22" s="2"/>
    </row>
    <row r="23" ht="15.6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6" t="str">
        <f>_xlfn.CONCAT("Sales Growth : ",product_sales!D4-100,"%")</f>
        <v>Sales Growth : 43%</v>
      </c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8.6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 t="s">
        <v>38</v>
      </c>
      <c r="S31" s="2"/>
      <c r="T31" s="2"/>
      <c r="U31" s="2"/>
    </row>
    <row r="32" ht="15.6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6" t="str">
        <f>_xlfn.CONCAT(growth_percent!A2," : ",growth_percent!E2,"%")</f>
        <v>Frozen Vegetables : 70%</v>
      </c>
      <c r="S32" s="2"/>
      <c r="T32" s="2"/>
      <c r="U32" s="2"/>
    </row>
    <row r="33" ht="15.6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6" t="str">
        <f>_xlfn.CONCAT(growth_percent!A3," : ",growth_percent!E3,"%")</f>
        <v>Toilet Cleaner : 43%</v>
      </c>
      <c r="S33" s="2"/>
      <c r="T33" s="2"/>
      <c r="U33" s="2"/>
    </row>
    <row r="34" ht="15.6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6" t="str">
        <f>_xlfn.CONCAT(growth_percent!A4," : ",growth_percent!E4,"%")</f>
        <v>Pet Treats : 39%</v>
      </c>
      <c r="S34" s="2"/>
      <c r="T34" s="2"/>
      <c r="U34" s="2"/>
    </row>
    <row r="35" ht="15.6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6" t="str">
        <f>_xlfn.CONCAT(growth_percent!A5," : ",growth_percent!E5,"%")</f>
        <v>Salt : 38%</v>
      </c>
      <c r="S35" s="2"/>
      <c r="T35" s="2"/>
      <c r="U35" s="2"/>
    </row>
    <row r="36" ht="15.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6" t="str">
        <f>_xlfn.CONCAT(growth_percent!A6," : ",growth_percent!E6,"%")</f>
        <v>Detergent : 35%</v>
      </c>
      <c r="S36" s="2"/>
      <c r="T36" s="2"/>
      <c r="U36" s="2"/>
    </row>
    <row r="37" ht="15.6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6" t="str">
        <f>_xlfn.CONCAT(growth_percent!A7," : ",growth_percent!E7,"%")</f>
        <v>Chocolates : 34%</v>
      </c>
      <c r="S37" s="2"/>
      <c r="T37" s="2"/>
      <c r="U37" s="2"/>
    </row>
    <row r="38" ht="15.6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6" t="str">
        <f>_xlfn.CONCAT(growth_percent!A8," : ",growth_percent!E8,"%")</f>
        <v>Dish Soap : 34%</v>
      </c>
      <c r="S38" s="2"/>
      <c r="T38" s="2"/>
      <c r="U38" s="2"/>
    </row>
    <row r="39" ht="15.6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6" t="str">
        <f>_xlfn.CONCAT(growth_percent!A9," : ",growth_percent!E9,"%")</f>
        <v>Curd : 24%</v>
      </c>
      <c r="S39" s="2"/>
      <c r="T39" s="2"/>
      <c r="U39" s="2"/>
    </row>
    <row r="40" ht="15.6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6" t="str">
        <f>_xlfn.CONCAT(growth_percent!A10," : ",growth_percent!E10,"%")</f>
        <v>Wheat Flour : 23%</v>
      </c>
      <c r="S40" s="2"/>
      <c r="T40" s="2"/>
      <c r="U40" s="2"/>
    </row>
    <row r="41" ht="15.6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6" t="str">
        <f>_xlfn.CONCAT(growth_percent!A11," : ",growth_percent!E11,"%")</f>
        <v>Carrots : 18%</v>
      </c>
      <c r="S41" s="2"/>
      <c r="T41" s="2"/>
      <c r="U41" s="2"/>
    </row>
    <row r="42" ht="15.6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6"/>
      <c r="S42" s="2"/>
      <c r="T42" s="2"/>
      <c r="U42" s="2"/>
    </row>
    <row r="43" ht="15.6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6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</sheetData>
  <mergeCells count="1">
    <mergeCell ref="A1:U6"/>
  </mergeCells>
  <pageMargins left="0.751388888888889" right="0.751388888888889" top="1" bottom="1" header="0.5" footer="0.5"/>
  <pageSetup paperSize="1" scale="60" orientation="landscape" horizontalDpi="600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product_sales</vt:lpstr>
      <vt:lpstr>category_sales</vt:lpstr>
      <vt:lpstr>growth_percent</vt:lpstr>
      <vt:lpstr>pivot_tables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Joseph Ling</cp:lastModifiedBy>
  <dcterms:created xsi:type="dcterms:W3CDTF">2025-11-28T05:25:00Z</dcterms:created>
  <dcterms:modified xsi:type="dcterms:W3CDTF">2025-11-28T12:28:10Z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00EA458DD13C46B8A66918728FAF5404_11</vt:lpwstr>
  </property>
  <property fmtid="{D5CDD505-2E9C-101B-9397-08002B2CF9AE}" pid="3" name="KSOProductBuildVer">
    <vt:lpwstr>1033-12.2.0.23155</vt:lpwstr>
  </property>
</Properties>
</file>